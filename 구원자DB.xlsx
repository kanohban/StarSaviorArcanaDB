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15\Documents\GitHub\StarSaviorArcanaDB\"/>
    </mc:Choice>
  </mc:AlternateContent>
  <bookViews>
    <workbookView xWindow="0" yWindow="0" windowWidth="13650" windowHeight="11865"/>
  </bookViews>
  <sheets>
    <sheet name="프로필" sheetId="1" r:id="rId1"/>
    <sheet name="스킬" sheetId="2" r:id="rId2"/>
    <sheet name="스탯" sheetId="5" r:id="rId3"/>
    <sheet name="플레이버 텍스트" sheetId="3" r:id="rId4"/>
    <sheet name="스킬 레벨 정보" sheetId="4" r:id="rId5"/>
    <sheet name="코멘트(자유)" sheetId="6" r:id="rId6"/>
  </sheets>
  <definedNames>
    <definedName name="스킬데이터">스킬!$A$2:$T$33</definedName>
  </definedNames>
  <calcPr calcId="162913"/>
</workbook>
</file>

<file path=xl/calcChain.xml><?xml version="1.0" encoding="utf-8"?>
<calcChain xmlns="http://schemas.openxmlformats.org/spreadsheetml/2006/main">
  <c r="B97" i="4" l="1" a="1"/>
  <c r="B97" i="4" s="1"/>
  <c r="B96" i="4" a="1"/>
  <c r="B96" i="4" s="1"/>
  <c r="B95" i="4" a="1"/>
  <c r="B95" i="4" s="1"/>
  <c r="B94" i="4" a="1"/>
  <c r="B94" i="4" s="1"/>
  <c r="B93" i="4" a="1"/>
  <c r="B93" i="4" s="1"/>
  <c r="B92" i="4" a="1"/>
  <c r="B92" i="4" s="1"/>
  <c r="B91" i="4" a="1"/>
  <c r="B91" i="4" s="1"/>
  <c r="B90" i="4" a="1"/>
  <c r="B90" i="4" s="1"/>
  <c r="B89" i="4" a="1"/>
  <c r="B89" i="4" s="1"/>
  <c r="B88" i="4" a="1"/>
  <c r="B88" i="4" s="1"/>
  <c r="B87" i="4" a="1"/>
  <c r="B87" i="4" s="1"/>
  <c r="B86" i="4" a="1"/>
  <c r="B86" i="4" s="1"/>
  <c r="B85" i="4" a="1"/>
  <c r="B85" i="4" s="1"/>
  <c r="B84" i="4" a="1"/>
  <c r="B84" i="4" s="1"/>
  <c r="B83" i="4" a="1"/>
  <c r="B83" i="4" s="1"/>
  <c r="B82" i="4" a="1"/>
  <c r="B82" i="4" s="1"/>
  <c r="B81" i="4" a="1"/>
  <c r="B81" i="4" s="1"/>
  <c r="B80" i="4" a="1"/>
  <c r="B80" i="4" s="1"/>
  <c r="B79" i="4" a="1"/>
  <c r="B79" i="4" s="1"/>
  <c r="B78" i="4" a="1"/>
  <c r="B78" i="4" s="1"/>
  <c r="B77" i="4" a="1"/>
  <c r="B77" i="4" s="1"/>
  <c r="B76" i="4" a="1"/>
  <c r="B76" i="4" s="1"/>
  <c r="B75" i="4" a="1"/>
  <c r="B75" i="4" s="1"/>
  <c r="B74" i="4" a="1"/>
  <c r="B74" i="4" s="1"/>
  <c r="B73" i="4" a="1"/>
  <c r="B73" i="4" s="1"/>
  <c r="B72" i="4" a="1"/>
  <c r="B72" i="4" s="1"/>
  <c r="B71" i="4" a="1"/>
  <c r="B71" i="4" s="1"/>
  <c r="B70" i="4" a="1"/>
  <c r="B70" i="4" s="1"/>
  <c r="B69" i="4" a="1"/>
  <c r="B69" i="4" s="1"/>
  <c r="B68" i="4" a="1"/>
  <c r="B68" i="4" s="1"/>
  <c r="B67" i="4" a="1"/>
  <c r="B67" i="4" s="1"/>
  <c r="B66" i="4" a="1"/>
  <c r="B66" i="4" s="1"/>
  <c r="B65" i="4" a="1"/>
  <c r="B65" i="4" s="1"/>
  <c r="B64" i="4" a="1"/>
  <c r="B64" i="4" s="1"/>
  <c r="B63" i="4" a="1"/>
  <c r="B63" i="4" s="1"/>
  <c r="B62" i="4" a="1"/>
  <c r="B62" i="4" s="1"/>
  <c r="B61" i="4" a="1"/>
  <c r="B61" i="4" s="1"/>
  <c r="B60" i="4" a="1"/>
  <c r="B60" i="4" s="1"/>
  <c r="B59" i="4" a="1"/>
  <c r="B59" i="4" s="1"/>
  <c r="B58" i="4" a="1"/>
  <c r="B58" i="4" s="1"/>
  <c r="B57" i="4" a="1"/>
  <c r="B57" i="4" s="1"/>
  <c r="B56" i="4" a="1"/>
  <c r="B56" i="4" s="1"/>
  <c r="B55" i="4" a="1"/>
  <c r="B55" i="4" s="1"/>
  <c r="B54" i="4" a="1"/>
  <c r="B54" i="4" s="1"/>
  <c r="B53" i="4" a="1"/>
  <c r="B53" i="4" s="1"/>
  <c r="B52" i="4" a="1"/>
  <c r="B52" i="4" s="1"/>
  <c r="B51" i="4" a="1"/>
  <c r="B51" i="4" s="1"/>
  <c r="B50" i="4" a="1"/>
  <c r="B50" i="4" s="1"/>
  <c r="B49" i="4" a="1"/>
  <c r="B49" i="4" s="1"/>
  <c r="B48" i="4" a="1"/>
  <c r="B48" i="4" s="1"/>
  <c r="B47" i="4" a="1"/>
  <c r="B47" i="4" s="1"/>
  <c r="B46" i="4" a="1"/>
  <c r="B46" i="4" s="1"/>
  <c r="B45" i="4" a="1"/>
  <c r="B45" i="4" s="1"/>
  <c r="B44" i="4" a="1"/>
  <c r="B44" i="4" s="1"/>
  <c r="B43" i="4" a="1"/>
  <c r="B43" i="4" s="1"/>
  <c r="B42" i="4" a="1"/>
  <c r="B42" i="4" s="1"/>
  <c r="B41" i="4" a="1"/>
  <c r="B41" i="4" s="1"/>
  <c r="B40" i="4" a="1"/>
  <c r="B40" i="4" s="1"/>
  <c r="B39" i="4" a="1"/>
  <c r="B39" i="4" s="1"/>
  <c r="B38" i="4" a="1"/>
  <c r="B38" i="4" s="1"/>
  <c r="B37" i="4" a="1"/>
  <c r="B37" i="4" s="1"/>
  <c r="B36" i="4" a="1"/>
  <c r="B36" i="4" s="1"/>
  <c r="B35" i="4" a="1"/>
  <c r="B35" i="4" s="1"/>
  <c r="B34" i="4" a="1"/>
  <c r="B34" i="4" s="1"/>
  <c r="B33" i="4" a="1"/>
  <c r="B33" i="4" s="1"/>
  <c r="B32" i="4" a="1"/>
  <c r="B32" i="4" s="1"/>
  <c r="B31" i="4" a="1"/>
  <c r="B31" i="4" s="1"/>
  <c r="B30" i="4" a="1"/>
  <c r="B30" i="4" s="1"/>
  <c r="B29" i="4" a="1"/>
  <c r="B29" i="4" s="1"/>
  <c r="B28" i="4" a="1"/>
  <c r="B28" i="4" s="1"/>
  <c r="B27" i="4" a="1"/>
  <c r="B27" i="4" s="1"/>
  <c r="B26" i="4" a="1"/>
  <c r="B26" i="4" s="1"/>
  <c r="B25" i="4" a="1"/>
  <c r="B25" i="4" s="1"/>
  <c r="B24" i="4" a="1"/>
  <c r="B24" i="4" s="1"/>
  <c r="B23" i="4" a="1"/>
  <c r="B23" i="4" s="1"/>
  <c r="B22" i="4" a="1"/>
  <c r="B22" i="4" s="1"/>
  <c r="B21" i="4" a="1"/>
  <c r="B21" i="4" s="1"/>
  <c r="B20" i="4" a="1"/>
  <c r="B20" i="4" s="1"/>
  <c r="B19" i="4" a="1"/>
  <c r="B19" i="4" s="1"/>
  <c r="B18" i="4" a="1"/>
  <c r="B18" i="4" s="1"/>
  <c r="B17" i="4" a="1"/>
  <c r="B17" i="4" s="1"/>
  <c r="B16" i="4" a="1"/>
  <c r="B16" i="4" s="1"/>
  <c r="B15" i="4" a="1"/>
  <c r="B15" i="4" s="1"/>
  <c r="B14" i="4" a="1"/>
  <c r="B14" i="4" s="1"/>
  <c r="B13" i="4" a="1"/>
  <c r="B13" i="4" s="1"/>
  <c r="B12" i="4" a="1"/>
  <c r="B12" i="4" s="1"/>
  <c r="B11" i="4" a="1"/>
  <c r="B11" i="4" s="1"/>
  <c r="B10" i="4" a="1"/>
  <c r="B10" i="4" s="1"/>
  <c r="B9" i="4" a="1"/>
  <c r="B9" i="4" s="1"/>
  <c r="B8" i="4" a="1"/>
  <c r="B8" i="4" s="1"/>
  <c r="B7" i="4" a="1"/>
  <c r="B7" i="4" s="1"/>
  <c r="B6" i="4" a="1"/>
  <c r="B6" i="4" s="1"/>
  <c r="B5" i="4" a="1"/>
  <c r="B5" i="4" s="1"/>
  <c r="B4" i="4" a="1"/>
  <c r="B4" i="4" s="1"/>
  <c r="B3" i="4" a="1"/>
  <c r="B3" i="4" s="1"/>
  <c r="B2" i="4" a="1"/>
  <c r="B2" i="4" s="1"/>
</calcChain>
</file>

<file path=xl/sharedStrings.xml><?xml version="1.0" encoding="utf-8"?>
<sst xmlns="http://schemas.openxmlformats.org/spreadsheetml/2006/main" count="1829" uniqueCount="630">
  <si>
    <t>이름</t>
  </si>
  <si>
    <t>등급</t>
  </si>
  <si>
    <t>속성</t>
  </si>
  <si>
    <t>클래스</t>
  </si>
  <si>
    <t>공격 타입</t>
  </si>
  <si>
    <t>본명</t>
  </si>
  <si>
    <t>생일</t>
  </si>
  <si>
    <t>신장</t>
  </si>
  <si>
    <t>출신</t>
  </si>
  <si>
    <t>소속</t>
  </si>
  <si>
    <t>CV(KR)</t>
  </si>
  <si>
    <t>CV(JP)</t>
  </si>
  <si>
    <t>캐릭터 소개</t>
  </si>
  <si>
    <t>나루</t>
  </si>
  <si>
    <t>SR</t>
  </si>
  <si>
    <t>별</t>
  </si>
  <si>
    <t>레인저</t>
  </si>
  <si>
    <t>원소</t>
  </si>
  <si>
    <t>NOA</t>
  </si>
  <si>
    <t>궤도 수색대</t>
  </si>
  <si>
    <t>이주은</t>
  </si>
  <si>
    <t>후쿠시마 하루나</t>
  </si>
  <si>
    <t>폴라리스 소속 궤도 수색대의 인턴. 스스로 고안해낸 방정식을 통해 완벽한 미래 관측이 가능해지는 미래를 꿈꾸고 있다.</t>
  </si>
  <si>
    <t>다나</t>
  </si>
  <si>
    <t>SSR</t>
  </si>
  <si>
    <t>캐스터</t>
  </si>
  <si>
    <t>카노푸스 산맥</t>
  </si>
  <si>
    <t>카노푸스 경비대</t>
  </si>
  <si>
    <t>이보희</t>
  </si>
  <si>
    <t>미카와 하루나</t>
  </si>
  <si>
    <t>카노푸스 산맥 깊은 곳의 드루이드 마을에서 나고 자란 소녀. 성격이 워낙 긍정적인 탓에 어떤 상황도 긍정적으로 해석한다.</t>
  </si>
  <si>
    <t>레이시</t>
  </si>
  <si>
    <t>혼돈</t>
  </si>
  <si>
    <t>동대륙</t>
  </si>
  <si>
    <t>방랑자</t>
  </si>
  <si>
    <t>허예은</t>
  </si>
  <si>
    <t>마에다 카오리</t>
  </si>
  <si>
    <t>동대륙 출신의 용족. 오랜 시간 작가로 활동해 왔으며 큰 성공을 거뒀었지만 최근에는 슬럼프인 듯.</t>
  </si>
  <si>
    <t>루그</t>
  </si>
  <si>
    <t>달</t>
  </si>
  <si>
    <t>정신</t>
  </si>
  <si>
    <t>장채연</t>
  </si>
  <si>
    <t>와타나베 유리나</t>
  </si>
  <si>
    <t>폴라리스 소속 궤도 수색대의 부팀장. 가문 대대로 내려온 특이체질 때문에 고통을 느끼지 못한다. 주위 사람들에게는 철저히 숨기는 취미를 가지고 있다는 소문이.</t>
  </si>
  <si>
    <t>루나</t>
  </si>
  <si>
    <t>질서</t>
  </si>
  <si>
    <t>불명</t>
  </si>
  <si>
    <t>보이저 구원단</t>
  </si>
  <si>
    <t>방시우</t>
  </si>
  <si>
    <t>미나토 미야</t>
  </si>
  <si>
    <t>꿈의 대마녀 마기의 수제자이자, 그녀의 '달의 지팡이'를 물려받은 자칭 라비스타 최고의 예언자. 그날 생긴 돈은 그날 카지노에서 모두 써버리는 대책 없는 삶을 살고 있다.</t>
  </si>
  <si>
    <t>리디아</t>
  </si>
  <si>
    <t>서부 재난 지대</t>
  </si>
  <si>
    <t>서부 탈환대</t>
  </si>
  <si>
    <t>장미</t>
  </si>
  <si>
    <t>아이자와 사야</t>
  </si>
  <si>
    <t>서부 탈환대의 부대장. 언제나 세레스를 옆에서 보좌하고 있다. 언제나 생글생글 웃고 있지만 그 미소의 안쪽에는 어둠이 도사리고 있다.</t>
  </si>
  <si>
    <t>릴리</t>
  </si>
  <si>
    <t>람파디스</t>
  </si>
  <si>
    <t>김윤채</t>
  </si>
  <si>
    <t>이이다 히카루</t>
  </si>
  <si>
    <t>람파디스 수사 컨설팅의 보조 조사원. 토끼씨라고 불리는 커다란 토끼 인형을 언제나 들고 다니고 있다. 가끔 토끼씨와 대화를 나눠서 주변의 걱정을 사고 있다.</t>
  </si>
  <si>
    <t>마르실</t>
  </si>
  <si>
    <t>태양</t>
  </si>
  <si>
    <t>어쌔신</t>
  </si>
  <si>
    <t>충격</t>
  </si>
  <si>
    <t>칼라이드</t>
  </si>
  <si>
    <t>페트라 조합</t>
  </si>
  <si>
    <t>박시윤</t>
  </si>
  <si>
    <t>안도 나나코</t>
  </si>
  <si>
    <t>페트라 조합의 현장 반장. 가족과 함께 운영할 당근 농장을 사들이기 위해 매일 열심히 일하고 있다.</t>
  </si>
  <si>
    <t>뮤리엘</t>
  </si>
  <si>
    <t>모노리스 교단</t>
  </si>
  <si>
    <t>박신희</t>
  </si>
  <si>
    <t>키토 아카리</t>
  </si>
  <si>
    <t>모노리스 교단의 성녀. 서열은 116번. 서열을 올려 모든 성녀들의 정점인 대성녀가 되는 것이 목표인 사고뭉치 소녀.</t>
  </si>
  <si>
    <t>베라</t>
  </si>
  <si>
    <t>서포터</t>
  </si>
  <si>
    <t>배달부 협회</t>
  </si>
  <si>
    <t>김가령</t>
  </si>
  <si>
    <t>슈토 유키나</t>
  </si>
  <si>
    <t>언제나 부지런한 발걸음으로 NOA를 누비는 배달부 소녀. 돈을 많이 벌어 배달부 전용차 - 크루저를 사는 것이 삶의 목표.</t>
  </si>
  <si>
    <t>베스타</t>
  </si>
  <si>
    <t>디펜더</t>
  </si>
  <si>
    <t>박하진</t>
  </si>
  <si>
    <t>츠카다 유이</t>
  </si>
  <si>
    <t>서부 탈환대의 돌격대원. 어떤 상황에서도 불평불만없이 임무를 수행하기에 서부 전사들 사이에서는 귀감으로 여겨진다.</t>
  </si>
  <si>
    <t>샤를</t>
  </si>
  <si>
    <t>스트라이커</t>
  </si>
  <si>
    <t>참격</t>
  </si>
  <si>
    <t>모나스티르 공국</t>
  </si>
  <si>
    <t>모나스티르 기사단</t>
  </si>
  <si>
    <t>채림</t>
  </si>
  <si>
    <t>오오키 사에코</t>
  </si>
  <si>
    <t>모나스티르 공국 기사단의 기사단장. 근엄하고 무게있는 기사단장이 되려고 노력하지만 활달하고 소박한 본래의 성격이 언제나 발목을 잡는다.</t>
  </si>
  <si>
    <t>세르팡</t>
  </si>
  <si>
    <t>풍월당</t>
  </si>
  <si>
    <t>유혜지</t>
  </si>
  <si>
    <t>하라츠카 사에</t>
  </si>
  <si>
    <t>환상족 토토와 함께 동대륙에서 건너온 풍월당 소속의 소녀. 귀찮은 걸 싫어해서 자주 수련을 빼먹으려 한다.</t>
  </si>
  <si>
    <t>세이라</t>
  </si>
  <si>
    <t>환상종</t>
  </si>
  <si>
    <t>윤은서</t>
  </si>
  <si>
    <t>아이다 리카코</t>
  </si>
  <si>
    <t>오랜 기간 라비스타를 떠돌고 있는 몽마. 사람들에게 좋은 꿈을 보여주는 능력이 있다. 하지만 그 능력은 때로 사람들을 중독시키기에, 한 곳에 오래 머물지 못하고 있다.</t>
  </si>
  <si>
    <t>스마일</t>
  </si>
  <si>
    <t>곽규미</t>
  </si>
  <si>
    <t>타무카이 유즈키</t>
  </si>
  <si>
    <t>스스로 인간이 아니라 고도의 과학 기술로 만들어진 존재라고 주장하는 과학 신봉자. 태어나서 한 번도 웃어 본 적이 없기 때문에 웃을 수 있는 연구를 위해 단장을 실험체로 삼고 있다.</t>
  </si>
  <si>
    <t>스칼렛</t>
  </si>
  <si>
    <t>스칼렛 벨라르미니</t>
  </si>
  <si>
    <t>용의 계곡</t>
  </si>
  <si>
    <t>캔들 스퀘어</t>
  </si>
  <si>
    <t>서다혜</t>
  </si>
  <si>
    <t>아키야마 미사키</t>
  </si>
  <si>
    <t>대재단사를 꿈꾸는 용족 소녀. 인간 사회의 상식이 부족하기 때문에 사고를 치고 클레어에게 혼나는 일이 잦다.</t>
  </si>
  <si>
    <t>스칼렛(바니걸)</t>
  </si>
  <si>
    <t>아세라</t>
  </si>
  <si>
    <t>아세라 스트라니스</t>
  </si>
  <si>
    <t>김채린</t>
  </si>
  <si>
    <t>타카모리 나츠미</t>
  </si>
  <si>
    <t>별의 구원자를 동경해서 그와 같은 구원자가 되기 위해 여정에 참가한 귀족 아가씨. 고민하는 것보다는 일단 행동으로 저지르고 보는 추진력이 강점이자 단점.</t>
  </si>
  <si>
    <t>안나</t>
  </si>
  <si>
    <t xml:space="preserve"> NOA 타운가드</t>
  </si>
  <si>
    <t>여윤미</t>
  </si>
  <si>
    <t>하나사키 미유</t>
  </si>
  <si>
    <t>NOA의 치안을 지키는 타운가드. 잘 웃고 누구에게나 쉽게 다가가 수다를 떠는 성격이지만 타운가드 일에는 언제나 진지하게 임하고 있다.</t>
  </si>
  <si>
    <t>에데</t>
  </si>
  <si>
    <t>파렌</t>
  </si>
  <si>
    <t>모렐 해운상회</t>
  </si>
  <si>
    <t>방연지</t>
  </si>
  <si>
    <t>츠치야 리오</t>
  </si>
  <si>
    <t>대륙 전체를 대상으로 무역업을 하는 모렐 해운상회의 부대표. 주변 사람들과 늘 거리를 두는 차갑고 쌀쌀한 성격.</t>
  </si>
  <si>
    <t>에핀델</t>
  </si>
  <si>
    <t>165cm</t>
  </si>
  <si>
    <t>오를랑 가문</t>
  </si>
  <si>
    <t>윤아영</t>
  </si>
  <si>
    <t>미야시타 사키</t>
  </si>
  <si>
    <t>오를랑 가문의 차기 가주. 아세라와는 소꿉친구 사이이지만 본인은 여러모로 아세라를 의식하며 경쟁심을 불태우는 중.</t>
  </si>
  <si>
    <t>엘리사</t>
  </si>
  <si>
    <t>169cm</t>
  </si>
  <si>
    <t>김서현</t>
  </si>
  <si>
    <t>미즈키 린</t>
  </si>
  <si>
    <t>모노리스 교단의 성녀. 서열은 117번. 유물에 대한 지식은 깊지만 낮은 자존감과 팔랑귀 성향 때문에 기를 펴지 못하고 있다.</t>
  </si>
  <si>
    <t>카르멘</t>
  </si>
  <si>
    <t>손정민</t>
  </si>
  <si>
    <t>Lynn</t>
  </si>
  <si>
    <t>모나스티르 공국 기사단의 부단장. 어떠한 어려운 상황에서도 언제나 여유로운 웃음을 잃지 않는 기사단의 방패.</t>
  </si>
  <si>
    <t>클라리사</t>
  </si>
  <si>
    <t>166cm</t>
  </si>
  <si>
    <t>원에스더</t>
  </si>
  <si>
    <t>카와세 마키</t>
  </si>
  <si>
    <t>카노푸스 산맥에서 사냥꾼으로 활동했떤 소녀. 초인적인 시력을 타고 났다. 장난을 좋아하는 활기찬 성격이지만 모두와 일정 거리를 두려한다.</t>
  </si>
  <si>
    <t>클레어</t>
  </si>
  <si>
    <t>오로아</t>
  </si>
  <si>
    <t>소노야마 히카리</t>
  </si>
  <si>
    <t>캔들 스퀘어의 최선임 메이드이자 메이드장 대행. 계획과 원칙을 중요시 하는 성격으로 언제나 모든 돌발상황에 대비한 계획을 세워두고 있다.</t>
  </si>
  <si>
    <t>클레어(바니걸)</t>
  </si>
  <si>
    <t>키라</t>
  </si>
  <si>
    <t>키라는 친구같은 거 없어</t>
  </si>
  <si>
    <t>성예원</t>
  </si>
  <si>
    <t>아오노 리코</t>
  </si>
  <si>
    <t>목소리에 힘을 담는 언령이라는 특별한 능력을 가진 소녀. 어렸을 때부터 언령을 잘 조절하지 못했기 때문에 주변 사람들에게 피해를 끼치고, 점점 내성적인 성격이 되었다.</t>
  </si>
  <si>
    <t>타냐</t>
  </si>
  <si>
    <t>최하리</t>
  </si>
  <si>
    <t>나카자와 미나</t>
  </si>
  <si>
    <t>페트라 조합 소속의 인턴. 남들과 다른 괴력의 소유자로 마르실이 봐주지 않으면 모든 일을 힘으로 해결해 버린다. 좋아하는 것은 튀김.</t>
  </si>
  <si>
    <t>트리쉬</t>
  </si>
  <si>
    <t>161cm</t>
  </si>
  <si>
    <t>아셀루스 협회</t>
  </si>
  <si>
    <t>김예림</t>
  </si>
  <si>
    <t>츠키시로 히카</t>
  </si>
  <si>
    <t>아셀루스 헌터 협회에 소속되어 활동하는 능력 좋은 헌터. 그만큼 막대한 현상금을 벌지만 언제나 물쓰듯 쉽게 써서 탕진해 버리는 삶을 살고 있다.</t>
  </si>
  <si>
    <t>페트라</t>
  </si>
  <si>
    <t>김선주</t>
  </si>
  <si>
    <t>미네다 마유</t>
  </si>
  <si>
    <t>철거부터 건설까지, 건축과 관련된 일이라면 뭐든지 수주받는 페트라 조합의 대표. 정확히 목표만 날려버리는 폭탄 개발에 재능이 있다.</t>
  </si>
  <si>
    <t>프레이</t>
  </si>
  <si>
    <t>이이로</t>
  </si>
  <si>
    <t>시부야 아야노</t>
  </si>
  <si>
    <t>모나스티르 기사단의 보급관이라고 자칭하는 소녀. 돈 버는 일에 관심이 많기 때문에 언제나 사업 아이템을 구상하고 있지만 대부분 실패로 끝나고 있다.</t>
  </si>
  <si>
    <t>할리</t>
  </si>
  <si>
    <t>헬 세이비어</t>
  </si>
  <si>
    <t>정유정</t>
  </si>
  <si>
    <t>야하기 사유리</t>
  </si>
  <si>
    <t>바이크 호그 폭주단, 헬 세이비어의 리더. 여러 범죄를 저질러 수배중이라는 소문이 있다. 무엇보다 의리를 중시하는 호방한 소녀.</t>
  </si>
  <si>
    <t>패시브</t>
  </si>
  <si>
    <t>패시브_설명</t>
  </si>
  <si>
    <t>기본기</t>
  </si>
  <si>
    <t>기본기_타입</t>
  </si>
  <si>
    <t>기본기_대상</t>
  </si>
  <si>
    <t>기본기_설명</t>
  </si>
  <si>
    <t>기본기_노바</t>
  </si>
  <si>
    <t>특수기</t>
  </si>
  <si>
    <t>특수기_타입</t>
  </si>
  <si>
    <t>특수기_대상</t>
  </si>
  <si>
    <t>특수기_쿨</t>
  </si>
  <si>
    <t>특수기_설명</t>
  </si>
  <si>
    <t>특수기_노바</t>
  </si>
  <si>
    <t>궁극기</t>
  </si>
  <si>
    <t>궁극기_타입</t>
  </si>
  <si>
    <t>궁극기_대상</t>
  </si>
  <si>
    <t>궁극기_쿨</t>
  </si>
  <si>
    <t>궁극기_설명</t>
  </si>
  <si>
    <t>궁극기_노바</t>
  </si>
  <si>
    <t>승진 욕심</t>
  </si>
  <si>
    <t>나루의 공격력이 12% 증가합니다.</t>
  </si>
  <si>
    <t>여기 보세요!</t>
  </si>
  <si>
    <t>적 단일</t>
  </si>
  <si>
    <t>윤분의에 별의 힘을 모아서 적에게 발사합니다. 자신에게 도약 스택을 1개 부여합니다.</t>
  </si>
  <si>
    <t>타격 시 일시적으로 자신의 강인도 고정 피해가 1 증가합니다.</t>
  </si>
  <si>
    <t>이게 제 실력입니다</t>
  </si>
  <si>
    <t>3턴</t>
  </si>
  <si>
    <t>적에게 떨어질 수 있는 낙하체를 계산합니다. 자신에게 1턴 간 공격력 증가를 발생시킵니다. 타격 시 적이 약화 효과 상태이면 피해량이 10% 증가합니다.</t>
  </si>
  <si>
    <t>예상 범위를 벗어났어요!</t>
  </si>
  <si>
    <t>5턴</t>
  </si>
  <si>
    <t>넘치는 자신감을 가득 담아 미완성 방정식을 이용한 에너지 발산 계산식을 진행합니다. 적에게 100% 확률로 2턴 간 속도 감소를 발생시킵니다.</t>
  </si>
  <si>
    <t>타격 시 일시적으로 자신의 강인도 고정 피해가 1 증가하고 타격 후 적에게 100% 확률로 2턴 간 효과 저항 감소를 발생시킵니다.</t>
  </si>
  <si>
    <t>순수한 마음</t>
  </si>
  <si>
    <t>다나의 공격력이 15% 증가합니다. 다나가 급속 개화로 치명타 발생 시 자신에게 100% 확률로 1턴 간 속도 증가를 발생시킵니다.</t>
  </si>
  <si>
    <t>풀잎 쇄도</t>
  </si>
  <si>
    <t>다나가 자연의 기운을 날려보내서 적을 공격합니다. 자신에게 도약 스택을 1개 부여합ㄴ디ㅏ.</t>
  </si>
  <si>
    <t>급속 개화</t>
  </si>
  <si>
    <t>자연의 기운으로 식물의 성장을 촉진하여 적을 공격합니다. 자신과 자신을 제외한 공격력이 가장 높은 아군에게 2턴 간 공격력 증가를 발생시킵니다.</t>
  </si>
  <si>
    <t>타격 시 일시적으로 자신의 강인도 고정 피해가 1 증가하고 치명타 확률이 30% 증가합니다.</t>
  </si>
  <si>
    <t>자연의 힘</t>
  </si>
  <si>
    <t>적 전체</t>
  </si>
  <si>
    <t>4턴</t>
  </si>
  <si>
    <t>생명력으로 가득한 대지를 만들고 거목을 일으켜 적 전체를 공격합니다. 적 전체에게 75% 확률로 1턴 간 속도 감소를 발생시킵니다.</t>
  </si>
  <si>
    <t>바람이 담김 글</t>
  </si>
  <si>
    <t>레이시의 공격력이 15% 증가합니다. 레이시가 뒤엉킨 꿈결 상태인 적에게 피격 후 행동 게이지를 10% 증가시키고 자신의 생명력을 회복합니다. 회복량은 자신의 공격력에 비례해 증가합니다.</t>
  </si>
  <si>
    <t>화룡생천</t>
  </si>
  <si>
    <t>불의 숨결을 날려 적을 공격합니다. 자신에게 격동 스택을 1개 부여합니다.</t>
  </si>
  <si>
    <t>역류수옥</t>
  </si>
  <si>
    <t>거꾸로 역류하는 물줄기를 만들어 적을 공격합니다. 자신에게 2턴 간 속도 증가를 발생시킵니다. 타격 시 적이 뒤엉킨 꿈결 상태이면 피해량이 20% 증가합니다.</t>
  </si>
  <si>
    <t>타격 시 일시적으로 자신의 강인도 고정 피해가 1 증가하고 피해량이 20% 증가합니다.</t>
  </si>
  <si>
    <t>물과 불의 노래</t>
  </si>
  <si>
    <t>물과 불의 기운을 실은 검을 휘둘러 적을 공격합니다. 자신에게 2턴 간 공격력 증가를 발생시키고 적 전체에게 100% 확률로 3턴 간 뒤엉킨 꿈결을 발생시킵니다.</t>
  </si>
  <si>
    <t>퇴마사의 길</t>
  </si>
  <si>
    <t>루그의 공격력이 15% 증가합니다. 루그가 제압부 사용 후 적에게 100% 확률로 1턴 간 빙결을 발생시킵니다.</t>
  </si>
  <si>
    <t>제압부</t>
  </si>
  <si>
    <t>적에게 부적을 날려 공격합니다. 자신에게 냉각 스택을 1개 부여합니다.</t>
  </si>
  <si>
    <t>설중사우</t>
  </si>
  <si>
    <t>부적으로 냉기를 일으켜 적을 공격합니다. 적에게 100% 확률로 2턴 간 빙결을 발생시키고 자신에게 1턴 간 속도 증가를 발생시킵니다.</t>
  </si>
  <si>
    <t>타격 시 일시적으로 자신의 강인도 고정 피해가 1 증가하고 속도 증가의 턴 수가 1턴 증가합니다.</t>
  </si>
  <si>
    <t>천도불용, 악즉참</t>
  </si>
  <si>
    <t>부적으로 만들어낸 검으로 삿된 것을 베어냅니다. 적에게 100% 확률로 2턴 간 방어력 감소를 발생시키고 100% 확률로 궁극기 쿨타임을 1턴 증가시킵니다.</t>
  </si>
  <si>
    <t>미래를 보는 소녀</t>
  </si>
  <si>
    <t>루나의 공격력이 15% 증가합니다. 루나가 내 눈에 비친 세계 사용 시 강화 효과 상태이면 치명타 피해가 20% 증가합니다.</t>
  </si>
  <si>
    <t>호신용 마력탄</t>
  </si>
  <si>
    <t>손가락을 튕겨 만들어 낸 마력 구체를 적들에게 쏘아냅니다. 자실에게 통찰 스택을 1개 부여합니다.</t>
  </si>
  <si>
    <t>헤카테의 불씨</t>
  </si>
  <si>
    <t>모자에 달의 마력을 담아 적 한가운데로 날려 터뜨립니다. 자신에게 2턴 간 치명타 확률 증가를 발생시킵니다.</t>
  </si>
  <si>
    <t>내 눈에 비친 세계</t>
  </si>
  <si>
    <t>달의 지팡이의 힘을 끌어내어 적들에게 피할 수 없는 운명을 선고합니다. 적 전체에게 75% 확률로 2턴 간 속박을 발생시킵니다.</t>
  </si>
  <si>
    <t>타격 시 일시적으로 자신의 강인도 고정 피해가 1 증가하고 속박의 발생 확률이 100%로 증가합니다.</t>
  </si>
  <si>
    <t>공허의 추구자</t>
  </si>
  <si>
    <t>리디아의 최대 생명력이 15% 증가합니다. 리디아가 공허의 손길 사용 후 적이 약화 효과 상태이명 자신의 공격력이 6%씩 증가합니다. 최대 5회 중첩됩니다.</t>
  </si>
  <si>
    <t>공허의 손길</t>
  </si>
  <si>
    <t>근원을 알 수 없는 힘을 이용하여 적을 공격합니다. 자신에게 격동 스택을 1개 부여합니다.</t>
  </si>
  <si>
    <t>별자리 너머의 초대</t>
  </si>
  <si>
    <t>쿠쿠의 촉각을 유인하여 적 전체를 공격하게 합니다. 적 전체에게 75% 확률로 2턴 간 미지의 주문을 발생시킵니다.</t>
  </si>
  <si>
    <t>서책의 공허간</t>
  </si>
  <si>
    <t>쿠쿠의 봉인을 잠시 열어 형용할 수 없는 공포를 현실에 방류합니다. 적에게 100% 확률로 2턴 간 속도 감소를 발생시킵니다. 타격 시 적이 약화 효과 상태이명 자신의 행동 게이지를 30% 증가시킵니다.</t>
  </si>
  <si>
    <t>타격 시 일시적으로 자신의 강인도 고정 피해가 1 증가하고 타격 후 적에게 100%확률로 1턴 간 미지의 주문을 발생시킵니다.</t>
  </si>
  <si>
    <t>미스터리 콤비</t>
  </si>
  <si>
    <t>릴리의 공격력이 15% 증가합니다. 릴리가 토끼씨의 즉결 심판 사용 후 자신의 행동 게이지를 20% 증가시킵니다.</t>
  </si>
  <si>
    <t>혼란 속 일격</t>
  </si>
  <si>
    <t>토끼 씨의 수수께끼 같은 힘을 빌려 적을 공격합니다. 자신에게 냉각 스택을 1개 부여합니다.</t>
  </si>
  <si>
    <t>릴리의 소중한 시간</t>
  </si>
  <si>
    <t>아군 전체</t>
  </si>
  <si>
    <t>즉석에서 토끼 씨를 수선하여 활로를 찾아냅니다. 자신을 제외한 아군 전체에게 2턴 간 보호막을 발생시키고 자신에게 2턴 간 공격력 증가를 발생시킵니다. 보호막은 자신의 공격력에 비례해 증가합니다.</t>
  </si>
  <si>
    <t>스킬 사용 후 자신의 강인도를 1 회복합니다.</t>
  </si>
  <si>
    <t>토끼 씨의 즉결 심판</t>
  </si>
  <si>
    <t>위기의 순간에 토끼 씨 인형이 직접 나서서 적을 공격합니다. 적 전체에게 75% 확률로 2턴 간 공격력 감소를 발생시킵니다.</t>
  </si>
  <si>
    <t>타격 시 일시적으로 자신의 강인도 고정 피해가 1 증가하고 타격 후 적 전체에게 100% 확률로 2턴 간 공격력 감소를 발생시킵니다.</t>
  </si>
  <si>
    <t>망치와 모루</t>
  </si>
  <si>
    <t>마르실의 치명타 확률이 12% 증가합니다.</t>
  </si>
  <si>
    <t>너트 돌리기</t>
  </si>
  <si>
    <t>온몸으로 렌치를 휘둘러 적을 공격합니다. 자신에게 점화 스택을 1개 부여합니다.</t>
  </si>
  <si>
    <t>대못 박기</t>
  </si>
  <si>
    <t>개조한 네일건으로 적을 공격합니다. 적에게 100% 확률로 1턴 간 연소를 발생시킵니다. 치명타 발생 시 자신에게 1턴 간 속도 증가를 발생시킵니다.</t>
  </si>
  <si>
    <t>타격 시 일시적으로 자신의 강인도 고정 피해가 1 증가하고 타격 후 적에게 100% 확률로 1턴 간 회복 감소를 발생시킵니다.</t>
  </si>
  <si>
    <t>나사 부수기</t>
  </si>
  <si>
    <t>렌치를 최대 출력으로 가동해 앞을 가로막는 모든 것을 철거합니다. 자신에게 2턴 간 공격력 증가를 발생시킵니다. 치명타 발생 시 적에게 100% 확률로 1턴 간 회복 감소를 발생시킵니다.</t>
  </si>
  <si>
    <t>의기양양</t>
  </si>
  <si>
    <t>뮤리엘의 치명타 피해가 25% 증가합니다. 뮤리엘이 자신을 제외한 태양 속성 아군이 궁극기 사용 후 자신에게 100% 점화 스택을 1개 부여합니다.</t>
  </si>
  <si>
    <t>신의 불꽃</t>
  </si>
  <si>
    <t>성스러운 불꽃을 날려 보내 적을 공격합니다. 자신에게 점화 스택을 1개 부여합니다.</t>
  </si>
  <si>
    <t>성수 폭격</t>
  </si>
  <si>
    <t>훔쳐온 성수를 적에게 아낌없이 던져 공격합니다. 적이 보유한 약화 효과 개수 당 피해량이 3%씩 증가합니다. 100% 확률로 적의 모든 약화 효과를 1턴 연장시킵니다.</t>
  </si>
  <si>
    <t>이제 착하게 살게요</t>
  </si>
  <si>
    <t>뮤리엘이 받아야할 천벌에 적 전체가 휘말립니다. 적 전체에게 75% 확률로 2턴간 공격력 감소를 발생시킵니다. 자신의 점화가 최대 스택이면 점화 스택을 모두 소거하고 적 전체에게 100% 확률로 2턴 간 연소를 발생시킵니다.</t>
  </si>
  <si>
    <t>타격 시 일시적으로 자신의 강인도 고정 피해가 1 증가하고 공격력 감소의 발생 확률이 100% 증가합니다.</t>
  </si>
  <si>
    <t>베테랑 집배원</t>
  </si>
  <si>
    <t>베라의 최대 생명력이 12% 증가합니다.</t>
  </si>
  <si>
    <t>적절한 대응</t>
  </si>
  <si>
    <t>소포를 지켜야 한다는 일념으로 적을 공격합니다. 자신에게 냉각 스택을 1개 부여합니다.</t>
  </si>
  <si>
    <t>신속하고 안전한 배송</t>
  </si>
  <si>
    <t>아군 단일</t>
  </si>
  <si>
    <t>베라가 기쁜 소식을 가지고 찾아왔습니다. 아군 대상의 생명력을 회복시키고 아군의 약화 효과를 1개 해제합니다. 회복량은 자신의 최대 생명력에 비례해 증가합니다.</t>
  </si>
  <si>
    <t>꿈을 향한 한 걸음</t>
  </si>
  <si>
    <t>베라가 아군을 위한 특제 소포 배달을 완료합니다. 아군 전체의 생명력을 회복시킵니다. 대상이 강화 효과 상태라면 1턴 간 특급 배송 1개를 발생시킵니다. 회복량은 자신의 최대 생명력에 비례해 증가합니다.</t>
  </si>
  <si>
    <t>스킬 사용 후 자신의 강인도를 1 회복하고 일시적으로 주는 회복량이 15% 증가합니다.</t>
  </si>
  <si>
    <t>희미한 감정</t>
  </si>
  <si>
    <t>베스타의 최대 생명력이 12% 증가합니다.</t>
  </si>
  <si>
    <t>흔들림 없는 창</t>
  </si>
  <si>
    <t>랜스로 돌격해서 적을 찌릅니다. 자신에게 도약 스택을 1개 부여합니다. 피해량은 자신의 최대 생명력에 비례해 증가합니다.</t>
  </si>
  <si>
    <t>격퇴</t>
  </si>
  <si>
    <t>실드를 전개해 적의 시야를 가린 후 기습 공격합니다. 적에게 100% 확률로 1턴 간 공격력 감소를 발생시킵니다. 피해량은 자신의 최대 생명력에 비례해 증가합니다.</t>
  </si>
  <si>
    <t>거침없는 돌격</t>
  </si>
  <si>
    <t>공허의 힘을 랜스에 담아낸 후 전속력으로 낙하해서 적을 공격합니다. 자신에게 2턴 간 방어력 증가를 발생시킵니다. 피해량은 자신의 최대 생명력에 비례해 증가합니다.(방어력 증가 : 방어력이 30% 증가합니다.)</t>
  </si>
  <si>
    <t>타격 시 일시적으로 자신의 강인도 고정 피해가 1 증가하고 방어력 증가의 턴 수가 1턴 증가합니다.</t>
  </si>
  <si>
    <t>흔들리지 않는 기사단장</t>
  </si>
  <si>
    <t>샤를의 공격력이 15% 증가합니다. 샤를이 꺾이지 않는 일격 사용 후 정직한 찌르기의 피해량이 10%씩 증가합니다. 최대 3회 중첩됩니다.</t>
  </si>
  <si>
    <t>정직한 찌르기</t>
  </si>
  <si>
    <t>군더더기 없는 검술로 적을 찌릅니다. 자신에게 점화 스택을 1개 부여합니다.</t>
  </si>
  <si>
    <t>승리의 다짐</t>
  </si>
  <si>
    <t>승리를 향한 각오를 아군 한 명에게 나누어 줍니다. 아군 대상에게 2턴 간 치명타 확률 증가를 발생시킵니다. 추가로 아군 대상에게 100% 확률로 1턴 간 공격력 증가를 발생시킵니다. 자신에게 추가 턴이 발생합니다.</t>
  </si>
  <si>
    <t>꺾이지 않는 일격</t>
  </si>
  <si>
    <t>끊임없이 노력하여 갈고닦은 모나스티르 기사단의 검술을 선보입니다. 적에게 100% 확률로 2턴 간 공격력 감소를 발생시킵니다. 자신의 행동 게이지를 30% 증가시킵니다.</t>
  </si>
  <si>
    <t>날아오르라 봉황이여</t>
  </si>
  <si>
    <t>세르팡의 최대 생명력이 15% 증가합니다. 세르팡이 너로 정했다! 사용 후 적에게 100% 확률로 1턴 간 연소를 발생시킵니다.</t>
  </si>
  <si>
    <t>너로 정했다.</t>
  </si>
  <si>
    <t>세르팡이 토토를 적에게 던져 공격합니다. 자신에게 점화 스택을 1개 부여합니다.</t>
  </si>
  <si>
    <t>너만 믿을게</t>
  </si>
  <si>
    <t>토토가 살의가 담긴 매서운 시선을 쏘아 적의 심리를 압박합니다. 현재 생명력 비율이 가장 낮은 아군의 생명력을 회복시키고 적에게 75% 확률로 1턴 간 공격력 감소를 발생시킵니다. 회복량은 자신의 최대 생명력에 비례해 증가합니다.</t>
  </si>
  <si>
    <t>타격 시 일시적으로 자신의 강인도 고정 피해가 1 증가하고 주는 회복량이 15% 증가합니다.</t>
  </si>
  <si>
    <t>보여주자, 토토!</t>
  </si>
  <si>
    <t>세르팡과 토토가 하나로 모은 뜨거운 우정의 힘을 모두에게 나눠줍니다. 아군 전체의 생명력을 회복시키고 자신과 자신을 제외한 현재 생명력 비율이 가장 낮은 아군에게 스킬 피해 무효를 1회 발생시킵니다. 회복량은 자신의 최대 생명력에 비례해 증가합니다.</t>
  </si>
  <si>
    <t>예지몽의 가호</t>
  </si>
  <si>
    <t>세이라의 공격력이 15% 증가합니다. 세이라가 타격 시 적의 생명력이 75% 이상이면 피해량이 15% 증가합니다.</t>
  </si>
  <si>
    <t>덧없는 꿈</t>
  </si>
  <si>
    <t>적에게 순식간에 접근해 낫을 휘두릅니다. 자신에게 통찰 스택을 1개 부여합니다.</t>
  </si>
  <si>
    <t>별나비 무리</t>
  </si>
  <si>
    <t>별빛으로 빛나는 나비 무리를 불러 아군을 강화합니다. 아군 대상에게 2턴 간 공격력 증가를 발생시키고 행동 게이지를 25% 증가시킵니다. 자신에게 추가 턴이 발생합니다.</t>
  </si>
  <si>
    <t>스킬 사용 후 자신의 강인도를 1 회복하고 행동 게이지 증가량이 50% 증가합니다.</t>
  </si>
  <si>
    <t>환몽으로의 초대</t>
  </si>
  <si>
    <t>환몽의 영역 안에 적을 끌어들이고 한번에 베어 가릅니다. 적에게 100% 확률로 2턴 간 속도 감소를 발생 시킵니다. 자신에게 2턴 간 영몽의 빛을 발생시킵니다.</t>
  </si>
  <si>
    <t>해피 트리거</t>
  </si>
  <si>
    <t>스마일의 공격력이 15% 증가합니다. 스마일이 사격 좌표 확인 사용 후 적의 생명력이 50% 이상이면 자신의 행동 게이지를 10% 증가시킵니다.</t>
  </si>
  <si>
    <t>사격 좌표 확인</t>
  </si>
  <si>
    <t>자체 제작한 해피 엔드로 적을 포격합니다. 자신에게 도약 스택을 1개 부여합니다.</t>
  </si>
  <si>
    <t>고양이 탭댄스</t>
  </si>
  <si>
    <t>1턴</t>
  </si>
  <si>
    <t>사격 좌표 확인 사용 후 적의 생명력이 50% 이하이면 고양이 탭댄스를 발동합니다. 적 전체에게 75% 확률로 1턴 간 연소를 발생시킵니다. 1턴에 1번만 발생하며 사격 좌표 확인으로 적 사망 시에는 발동하지 않습니다.</t>
  </si>
  <si>
    <t>전대원, 일제 사격!</t>
  </si>
  <si>
    <t xml:space="preserve">직접 제작한 스마일 캣과 함께 적에게 집중포화를 퍼붓습니다. 적에게 100% 확률로 2턴 간 방어력 감소를 발생시킵니다. </t>
  </si>
  <si>
    <t>이 몸이 상대해주지!</t>
  </si>
  <si>
    <t>스칼렛의 최대 생명력이 12% 증가합니다.</t>
  </si>
  <si>
    <t>재단해주마!</t>
  </si>
  <si>
    <t>분리한 테일리온으로 적을 공격합니다. 자신에게 점화 스택을 1개 부여합니다.</t>
  </si>
  <si>
    <t>화끈하게 간다!</t>
  </si>
  <si>
    <t>용의 숨결로 달궈진 테일리온을 적에게 투척합니다. 자신에게 1턴 간 공격력 증가를 발생시킵니다. 타격 시 적이 연소 상태이명 피해량이 15% 증가합니다.</t>
  </si>
  <si>
    <t>버틸 수 있겠느냐!</t>
  </si>
  <si>
    <t>벨라르미니 일족의 권속을 불러내어 초고온의 숨결을 뿜어냅니다. 적에게 100% 확률로 2턴 간 연소를 발생시키고 75% 확률로 1턴 간 연소를 추가 발생시킵니다.</t>
  </si>
  <si>
    <t>타격 시 일시적으로 자신의 강인도 고정 피해가 1 증가하고 연소 추가 발생 확률이 100%로 증가합니다.</t>
  </si>
  <si>
    <t>하이 스코어!</t>
  </si>
  <si>
    <t>스칼렛의 치명타 확률이 15% 증가합니다. 스칼렛이 턴 시작 시 자신에게 핀볼 타임!을 3회 발생시키고 타격 후 핀볼 타임! 상태를 모두 해제합니다. 턴 시작 시 자신이 보유한 세븐볼(해제불가) 개수 당 속도가 1씩 증가합니다. 최대 10회 중첩됩니다.\n노멀볼(해제불가) : 주는 피해량이 1% 증가합니다.\n세븐볼(해제불가) : 주는 피해량이 7% 증가합니다.</t>
  </si>
  <si>
    <t>단숨에 간다!</t>
  </si>
  <si>
    <t>스칼렛이 분리한 테일리온을 이용해 적에게 휘두릅니다. 자신에게 점화 스택을 1개 부여합니다.</t>
  </si>
  <si>
    <t>이건 무효야!</t>
  </si>
  <si>
    <t>스칼렛이 들고 있던 접시를 던져 적을 공격합니다. 적에게 100% 확률로 2턴 간 회복 감소를 발생시킵니다. 자신에게 추가 턴이 발생합니다.</t>
  </si>
  <si>
    <t>아무튼 이겼노라!</t>
  </si>
  <si>
    <t>스칼렛이 거대한 핀볼을 돌려 적 전체에게 피해를 입힙니다. 적 전체에게 75% 확률로 1턴 간 속도 감소를 발생시킵니다. 자신이 보유한 세븐볼(해제불가) 개수 당 해당 스킬의 쿨타임이 1턴 감소합니다. 세븐볼(해제불가)이 3개이면 해당 스킬의 쿨타임을 초기화합니다.</t>
  </si>
  <si>
    <t>스트라니스식 호흡법</t>
  </si>
  <si>
    <t>아세라의 공격력이 15% 증가합니다. 아세라가 장막 베기 사용 후 자신의 치명타 피해가 6%씩 증가합니다. 최대 5회 중첩됩니다.</t>
  </si>
  <si>
    <t>스트라니스식 일섬</t>
  </si>
  <si>
    <t>적에게 달려가 크게 올려 벱니다. 자신에게 냉각 스택을 1개 부여합니다.</t>
  </si>
  <si>
    <t>장막 베기</t>
  </si>
  <si>
    <t>마법검의 힘을 일부 개방하여 적 전체에게 참격을 가합니다. 자신에게 2턴 간 속도 증가를 발생시킵니다.</t>
  </si>
  <si>
    <t>밤의 서광</t>
  </si>
  <si>
    <t>마법검의 봉인을 일시적으로 해방하여 적 전체에게 궤멸적인 피해를 입힙니다. 자신에게 2턴 간 치명타 확률 증가를 발생시킵니다.</t>
  </si>
  <si>
    <t>어디서 맛있는 냄새가</t>
  </si>
  <si>
    <t>안나의 최대 생명력이 12% 증가합니다.</t>
  </si>
  <si>
    <t>저항을 멈추세요!</t>
  </si>
  <si>
    <t>삼단봉을 휘둘러 적을 혼내 줍니다. 자신에게 점화 스택을 1개 부여합니다.</t>
  </si>
  <si>
    <t>먹고 시작하겠습니다!</t>
  </si>
  <si>
    <t>자기 자신</t>
  </si>
  <si>
    <t>안나가 가장 좋아하는 스트릿 베이커스의 도넛을 먹어 의욕을 충전합니다. 자신의 생명력을 회복시키고 2턴 간 속도 증가를 발생시킵니다. 회복량은 자신의 최대 생명력에 비례해 증가합니다.</t>
  </si>
  <si>
    <t>스킬 사용 후 자신의 강인도를 1 회복하고 자신의 행동 게이지를 30% 증가시킵니다.</t>
  </si>
  <si>
    <t>모두 체포해!</t>
  </si>
  <si>
    <t>안나가 호루라기를 불어 체포조를 소집해 적에게 달려듭니다. 적에게 100% 확률로 2턴 간 공격력 감소를 발생시킵니다. 타격 후 자신의 생명력이 50% 이하이면 자신의 생명력을 회복합니다. 회복량은 자신의 최대 생명력에 비례해 증가합니다.</t>
  </si>
  <si>
    <t>마모된 감정</t>
  </si>
  <si>
    <t>에데의 방어력이 15% 증가합니다. 에데가 최초 전투 시작 시 자신에게 1턴 간 수호를 발생시킵니다. 피격 후 자신에게 100% 확률로 도약 스택을 1개 부여합니다.</t>
  </si>
  <si>
    <t>강철 소나기</t>
  </si>
  <si>
    <t>에데의 꽃에 응축된 공허의 힘을 적에게 발사하여 공격합니다. 자신에게 도약 스택을 1개 부여합니다.</t>
  </si>
  <si>
    <t>송곳 갑주</t>
  </si>
  <si>
    <t>공허의 힘을 휘감아 방어 태세를 취합니다. 자신에게 2턴 간 보호막과 방어력 증가를 발생시킵니다. 자신의 도약이 최대 스택이면 도약 스택을 모두 소거하고 자신에게 추가 턴을 발생시킵니다. 보호막은 자신의 방어력에 비례해 증가합니다.</t>
  </si>
  <si>
    <t>스킬 사용 후 자신의 강인도를 1 회복하고 방어력 증가의 턴 수가 1턴 증가합니다.</t>
  </si>
  <si>
    <t>가시 무덤</t>
  </si>
  <si>
    <t>에데가 한계까지 공허의 힘을 끌어모아 적에게 퍼붓습니다. 자신에게 3턴 간 수호를 발생시킵니다. 자신이 보호막 상태이면 적에게 100% 확률로 2턴간 명중률 감소를 발생시킵니다. 피해량은 자신의 방어력에 비례해 증가합니다.</t>
  </si>
  <si>
    <t>귀족의 품격</t>
  </si>
  <si>
    <t>에핀델의 공격력이 15% 증가합니다. 에핀델의 달 속성 아군이 치명타 발생 시 자신에게 냉각 스택을 1개 부여합니다. 에핀델이 오를랑식 검술 사용 시 자신의 냉각이 최대 스택이면 피해량이 20% 증가하고 오를랑식 검술 사용 후 냉각 스택을 모두 소거합니다.</t>
  </si>
  <si>
    <t>오를랑식 검술</t>
  </si>
  <si>
    <t>오를랑 가문의 쌍검술로 적을 공격합니다. 자신에게 냉각 스택을 1개 부여합니다.</t>
  </si>
  <si>
    <t>타격 시 일시적으로 자신의 강인도 고정 피해가 1 증가하고 피해량의 30%만큼 생명력을 회복합니다.</t>
  </si>
  <si>
    <t>끈질긴 노력</t>
  </si>
  <si>
    <t>오를랑의 긍지를 상기하며 정신을 가다듬습니다. 자신에게 2턴 간 면역을 발생시키고 추가로 각각 100% 확률로 냉각 스택을 3개 부여합니다. 자신에게 추가 턴이 발생합니다.</t>
  </si>
  <si>
    <t>오를랑의 매</t>
  </si>
  <si>
    <t>매의 형태로 검기를 날린 후 추격하여 적을 공격합니다. 자신에게 3턴 간 속도 증가를 발생시킵니다.</t>
  </si>
  <si>
    <t>소심한 기도</t>
  </si>
  <si>
    <t>엘리사의 최대 생명력이 15% 증가합니다. 엘리사가 부질없지만 도움을 사용 시 자신의 생명력이 75% 이상이면 회복량이 25% 증가합니다.</t>
  </si>
  <si>
    <t>돌아가 주세요</t>
  </si>
  <si>
    <t>엘리사가 각오를 불어넣은 철퇴로 신의 심판을 대행합니다. 자신에게 격동 스택을 1개 부여합니다.</t>
  </si>
  <si>
    <t>부질없지만 도움을</t>
  </si>
  <si>
    <t>엘리사가 불안과 걱정을 이겨내기 위해 필사적인 기도를 올립니다. 아군 대상의 생명력을 회복시키고 2턴 간 성스러운 가호를 발생시킵니다. 회복량은 자신의 최대 생명력에 비례해 증가합니다.</t>
  </si>
  <si>
    <t>다같이 기도를</t>
  </si>
  <si>
    <t>엘리사의 믿음이 절망 속에서 기적을 부릅니다. 사망상태인 아군 대상을 50%의 생명력으로 부활시키고 행동 게이지를 50% 증가시킵니다. 사망 상태가 아닌 아군 대상은 생명력을 회복시키고 100% 확률로 1턴 간 성스러운 가호를 발생시킵니다. 회복량은 자신의 최대 생명력에 비례해 증가합니다.</t>
  </si>
  <si>
    <t>기사단의 방패</t>
  </si>
  <si>
    <t>카르멘의 최대 생명력이 15% 증가합니다. 카르멘이 피격 시 자신에게 부여된 냉각 스택에 비례하여 방어력이 4%씩 증가하며 최대 5개까지 적용됩니다.</t>
  </si>
  <si>
    <t>기사단 제식 검술</t>
  </si>
  <si>
    <t>무게를 실은 회전베기로 적을 공격합니다. 자신에게 냉각 스택을 1개 부여합니다. 피해량은 자신의 최대 생명력에 비례해 증가합니다.</t>
  </si>
  <si>
    <t>충격 요법</t>
  </si>
  <si>
    <t>강화된 방패를 앞에 세우고 돌진하여 전방에 있는 적을 향해 힘껏 휘둘러 칩니다. 자신에게 2턴 간 방어력 증가를 발생시키고 적에게 75% 확률로 1턴 간 도발을 발생시킵니다. 피해량은 자신의 최대 생명력에 비례해 증가합니다.</t>
  </si>
  <si>
    <t>타격 시 일시적으로 자신의 강인도 고정 피해가 1 증가하고 도발의 발생 확률이 100%로 증가합니다.</t>
  </si>
  <si>
    <t>모나스티르 기동 장벽</t>
  </si>
  <si>
    <t>모두를 지키고자 하는 카르멘의 의지를 성벽의 형태로 구현합니다. 자신을 제외한 아군 전체에게 2턴 간 방어력 증가를 발생시키고 적에게 100% 확률로 1턴 간 도발을 발생시킵니다. 피해량은 자신의 최대 생명력에 비례해 증가합니다.</t>
  </si>
  <si>
    <t>휘감는 바람길</t>
  </si>
  <si>
    <t>클라리사의 치명타 확률이 12% 증가합니다.</t>
  </si>
  <si>
    <t>좀 멀리 떨어져봐</t>
  </si>
  <si>
    <t>흐트러짐 없는 자세로 적을 저격합니다. 자신에게 도약 스택을 1개 부여합니다.</t>
  </si>
  <si>
    <t>느낌대로 사격</t>
  </si>
  <si>
    <t>적이 방심한 틈을 놓치지 않고 포착해서 저격합니다. 적에게 100% 확률로 1턴 간 속도 감소를 발생 시킵니다.</t>
  </si>
  <si>
    <t>타격 시 일시적으로 자신의 강인도 고정 피해가 1 증가하고 타격 후 100% 확률로 적의 행동 게이지를 15% 감소시킵니다.</t>
  </si>
  <si>
    <t>총은 이렇게 쏘는거야</t>
  </si>
  <si>
    <t>초인적인 시력으로 적의 숨겨진 약점을 포착한 후 저격합니다. 자신에게 2턴 간 속도 증가를 발생시킵니다.</t>
  </si>
  <si>
    <t>시간 엄수</t>
  </si>
  <si>
    <t>클레어의 공격력이 12% 증가합니다.</t>
  </si>
  <si>
    <t>완벽한 일격</t>
  </si>
  <si>
    <t>창을 크게 휘둘러 적을 공격합니다. 자신에게 냉각 스택을 1개 부여합니다.</t>
  </si>
  <si>
    <t>서슬 푸른 가시</t>
  </si>
  <si>
    <t>첨예한 기운을 휘감은 창으로 적을 연달아 찌릅니다. 자신에게 1턴 간 속도 증가를 발생시킵니다.</t>
  </si>
  <si>
    <t>타격 시 일시적으로 자신의 강인도 고정 피해가 1 증가하고 타격 후 자신에게 1턴 간 공격력 증가를 발생시킵니다.</t>
  </si>
  <si>
    <t>마지막 서비스</t>
  </si>
  <si>
    <t>무례한 불청객에게 실력 행사로 자신의 잘못을 깨닫게 해 줍니다. 자신의 행동 게이지를 20% 증가시킵니다. 자신이 강화 효과 상태이명 자신의 행동 게이지를 추가로 10% 증가시킵니다.</t>
  </si>
  <si>
    <t>승리를 향한 확신</t>
  </si>
  <si>
    <t>클레어의 공격력이 15% 증가합니다. 클레어가 턴 시작 시 자신의 치명타 확률이 10%씩 증가합니다. 최대 3회 중첩됩니다. 눈보다 빠른 움직임을 사용 후 자신의 냉각이 최대 스택이면 모두 소거하고 어딜 보시는거죠?를 발동합니다.</t>
  </si>
  <si>
    <t>눈보다 빠른 움직임</t>
  </si>
  <si>
    <t>빠르게 접근하여 적에게 창을 뒤로 당겼다가 강하게 내찌릅니다. 자신에게 냉각 스택을 1개 부여합니다.</t>
  </si>
  <si>
    <t>어딜 보시는 거죠?</t>
  </si>
  <si>
    <t>잭팟을 터트려 적을 공격합니다. 자신에게 2턴 간 공격력 증가를 발생시키고 행동게이지를 30% 증가시킵니다. 치명타 발생 시 자신에게 냉각 스택을 3개 부여합니다.</t>
  </si>
  <si>
    <t>바니걸 잭팟</t>
  </si>
  <si>
    <t>행운이 깃든 카드를 던지고 폭발시켜 적을 공격합니다. 타격 시 자신의 치명타 확률이 20% 증가합니다. 타격 후 자신에게 3턴 간 잭팟 블룸을 발생시킵니다. 적이 보유한 강화 효과 개수 당 피해량이 10% 증가하며 최대 5개까지 적용됩니다.</t>
  </si>
  <si>
    <t>타격 시 일시적으로 자신의 강인도 고정 피해가 1 증가하고 타격 후 자신의 행동게이지를 20% 증가시킵니다.</t>
  </si>
  <si>
    <t>살을 에는 언령</t>
  </si>
  <si>
    <t>키라의 공격력이 15% 증가합니다. 키라가 스킬 사용시 자신이 은신 상태이명 피해량이 10% 증가합니다.</t>
  </si>
  <si>
    <t>비일상적인 인사</t>
  </si>
  <si>
    <t>우연한 부딪침을 연출하여 적을 공격합니다. 자신에게 점화 스택을 1개 부여합니다.</t>
  </si>
  <si>
    <t>타격 시 일시적으로 자신의 강인도 고정 피해가 1 증가하고 타격 후 자신에게 1턴 간 은신을 발생시킵니다.</t>
  </si>
  <si>
    <t>침묵의 대가</t>
  </si>
  <si>
    <t>언령을 이용해서 섬뜩한 미래를 상상하게 만듭니다. 자신에게 2턴 간 공격력 증가를 발생시킵니다. 자신이 은신 상태이면 적의 행동 게이지를 30% 감소시킵니다.</t>
  </si>
  <si>
    <t>왜곡된 관심</t>
  </si>
  <si>
    <t>언령의 힘을 해방하여 적에게 불운한 결말을 초래합니다. 자신에게 2턴 간 은신을 발생시킵니다. 적에게 100% 확률로 1턴 간 공격력 감소를 발생시킵니다.</t>
  </si>
  <si>
    <t>철거 작업</t>
  </si>
  <si>
    <t>타냐의 공격력이 15% 증가합니다. 타냐가 적의 강인도 격파 후 자신에게 도약 스택을 3개 부여하고 자신을 제외한 아군 전체의 행동 게이지를 10% 증가시킵니다.</t>
  </si>
  <si>
    <t>펑펑 공구</t>
  </si>
  <si>
    <t>육중한 멀티툴을 휘둘러 적을 공격합니다. 자신에게 도약 스택을 1개 부여합니다.</t>
  </si>
  <si>
    <t>뱅뱅 전기톱</t>
  </si>
  <si>
    <t>멀티툴에 탑재된 절삭 공구로 적을 절단합니다. 아군 전체에게 1턴 간 치명타 확률 증가를 발생시킵니다. 자신의 행동 게이지를 30% 증가시킵니다.</t>
  </si>
  <si>
    <t>쾅쾅 벙커</t>
  </si>
  <si>
    <t>멀티툴의 기능이 총동원된 착암기로 적을 분쇄합니다. 자신에게 2턴 간 공격력 증가를 발생시킵니다. 타격 시 자신의 도약이 최대 스택이면 강인도 피해가 1 증가하고 타격 후 도약 스택을 모두 소거합니다.</t>
  </si>
  <si>
    <t>일류 헌터</t>
  </si>
  <si>
    <t>트리쉬의 치명타 피해가 25% 증가합니다. 트리쉬가 적 처치 시 자신의 행동 게이지가 30% 증가합니다.</t>
  </si>
  <si>
    <t>귀신 걸음</t>
  </si>
  <si>
    <t>화려하게 파고들어 적을 기습합니다. 자신에게 도약 스택을 1개 부여합니다.</t>
  </si>
  <si>
    <t>가속 강습</t>
  </si>
  <si>
    <t>2턴</t>
  </si>
  <si>
    <t>단검을 투척한 뒤 공중에서 폼나게 낚아채서 내려칩니다. 자신에게 2턴 간 치명타 확률 증가를 발생시킵니다.</t>
  </si>
  <si>
    <t>연속 참격</t>
  </si>
  <si>
    <t>일류 헌터만이 가능한 전광석화 같은 연속 공격을 선보입니다. 자신에게 2턴 간 공격력 증가를 발생시킵니다. 적 처치 시 해당 스킬의 쿨타임이 초기화됩니다.</t>
  </si>
  <si>
    <t>건축설계 사전검토</t>
  </si>
  <si>
    <t>페트라의 공격력이 15% 증가합니다. 페트라는 자신을 제외한 아군이 적의 강인도 격파 후 자신에게 점화 스택을 1개 부여하고 자신의 행동 게이지를 20% 증가시킵니다. 1턴에 1번만 발생합니다.</t>
  </si>
  <si>
    <t>즉석 설계</t>
  </si>
  <si>
    <t>페트라가 설계도를 적에게 내리쳐 공격합니다. 자신에게 점화 스택을 1개 부여합니다.</t>
  </si>
  <si>
    <t>시공 착수</t>
  </si>
  <si>
    <t>페트라가 사이드백에서 폭탄을 꺼내 적을 공격합니다. 자신에게 2턴 간 속도 증가를 발생시키고 점화 스택을 2개 부여합니다.</t>
  </si>
  <si>
    <t>타격 시 일시적으로 자신의 강인도 고정 피해가 2 증가합니다.</t>
  </si>
  <si>
    <t>건축 협의</t>
  </si>
  <si>
    <t>페트라가 다량의 폭탄을 굴려 적을 공격합니다. 적에게 100% 확류로 2턴 간 방어력 감소를 발생시킵니다. 타격 시 자신에게 부여된 점화 스택에 비례하여 피해량이 4%씩 증가하며 최대 5개까지 적용됩니다. 타격 후 점화 스택을 모두 소거합니다.</t>
  </si>
  <si>
    <t>손해보지 않는 거래</t>
  </si>
  <si>
    <t>프레이의 최대 생명력이 15% 증가합니다. 피레이가 모나스티르의 전력지원 사용 후 자신의 생명력이 50% 이하이면 아군 전체의 행동 게이지를 15% 증가시킵니다.</t>
  </si>
  <si>
    <t>교섭 결렬</t>
  </si>
  <si>
    <t xml:space="preserve">말도 안 되는 상대방의 제안에 프레이가 있는 힘껏 적의 뺨을 후려칩니다. 자신에게 도약 스택을 1개 부여합니다. </t>
  </si>
  <si>
    <t>최고 속도로 보급</t>
  </si>
  <si>
    <t>모나스티르의 보급관 프레이가 아군에게 생존 물자를 긴급 조달합니다. 아군 대상의 생명력을 회복시키고 약화 효과를 2개 해제합니다. 회복량은 자신의 최대 생명력에 비례해 증가합니다.</t>
  </si>
  <si>
    <t>모나스티르의 전력지원</t>
  </si>
  <si>
    <t>프레이가 모나스티르를 대표하여 전심전력으로 아군을 지원합니다. 아군 전체의 생명력을 회복시키고 2턴 간 보호막을 발생시킵니다. 회복량과 보호막은 자신의 최대 생명력에 비례해 증가합니다.</t>
  </si>
  <si>
    <t>너가 우리 애들 때렸냐?</t>
  </si>
  <si>
    <t>할리의 최대 생명력이 15% 증가합니다. 할리는 자신을 제외한 아군이 피격 후 100%확률로 자신의 속도가 3%씩 증가합니다. 최대 5회 중첩됩니다.</t>
  </si>
  <si>
    <t>가자, 데이브!</t>
  </si>
  <si>
    <t>데이브와 함께 빠르게 기동하여 적을 공격합니다. 자신에게 점화 스택을 1개 부여합니다.</t>
  </si>
  <si>
    <t>해보자는 거냐?</t>
  </si>
  <si>
    <t>데이브를 딛고 뛰어올라 적에게 도끼를 투척합니다. 자신에게 2턴 간 속도 증가를 발생시키고 공격력이 가장 높은 태양 속성 아군 한명에게 점화 스택을 2개 부여합니다. 피해량은 자신의 속도에 비례해 증가합니다.</t>
  </si>
  <si>
    <t>타격 시 일시적으로 자신의 강인도 고정 피해가 1 증가하고 100% 확률로 적의 행동 게이지를 15% 감소시킵니다.</t>
  </si>
  <si>
    <t>치킨 레이스다!</t>
  </si>
  <si>
    <t>자신을 따르는 호그 무리를 불러내서 돌격합니다. 아군 전체에게 2턴 간 방어력 증가를 발생시킵니다. 자신의 생명력이 50% 이상이면 자신을 제외한 아군 전체에게 100% 확률로 1턴 간 속도 증가를 발생시킵니다. 피해량은 자신의 속도에 비례해 증가합니다.</t>
  </si>
  <si>
    <t>텍스트</t>
  </si>
  <si>
    <t>설명</t>
  </si>
  <si>
    <t>공격력 감소</t>
  </si>
  <si>
    <t>공격력이 30% 감소합니다.</t>
  </si>
  <si>
    <t>공격력 증가</t>
  </si>
  <si>
    <t>공격력이 30% 증가합니다.</t>
  </si>
  <si>
    <t>방어력 감소</t>
  </si>
  <si>
    <t>방어력이 30% 감소합니다.</t>
  </si>
  <si>
    <t>방어력 증가</t>
  </si>
  <si>
    <t>방어력이 30% 증가합니다.</t>
  </si>
  <si>
    <t>속도 감소</t>
  </si>
  <si>
    <t>속도가 20% 감소합니다.</t>
  </si>
  <si>
    <t>속도 증가</t>
  </si>
  <si>
    <t>속도가 20% 증가합니다.</t>
  </si>
  <si>
    <t>회복 감소</t>
  </si>
  <si>
    <t>받는 회복량이 50% 감소합니다.</t>
  </si>
  <si>
    <t>성스러운 가호</t>
  </si>
  <si>
    <t>효과 저항이 50% 증가합니다.</t>
  </si>
  <si>
    <t>점화</t>
  </si>
  <si>
    <t>별 속성 유닛에게 주는 피해량이 1% 증가합니다. 최대 5스택까지 적용됩니다. 부스트 효과는 강화/약화 효과와 무관하게 독립적으로 적용됩니다.</t>
  </si>
  <si>
    <t>도약</t>
  </si>
  <si>
    <t>달 속성 유닛에게 주는 피해량이 1% 증가합니다. 최대 5스택까지 적용됩니다. 부스트 효과는 강화/약화 효과와 무관하게 독립적으로 적용됩니다.</t>
  </si>
  <si>
    <t>통찰</t>
  </si>
  <si>
    <t>혼돈 속성 유닛에게 주는 피해량이 1% 증가합니다. 최대 5스택까지 적용됩니다. 부스트 효과는 강화/약화 효과와 무관하게 독립적으로 적용됩니다.</t>
  </si>
  <si>
    <t>격동</t>
  </si>
  <si>
    <t>질서 속성 유닛에게 주는 피해량이 1% 증가합니다. 최대 5스택까지 적용됩니다. 부스트 효과는 강화/약화 효과와 무관하게 독립적으로 적용됩니다.</t>
  </si>
  <si>
    <t>도발</t>
  </si>
  <si>
    <t>턴 시작 시 도발한 시전자에게 강제로 기본기를 사용합니다.</t>
  </si>
  <si>
    <t>뒤엉킨 꿈결</t>
  </si>
  <si>
    <t>공격력이 10% 감소합니다.</t>
  </si>
  <si>
    <t>명중률 감소</t>
  </si>
  <si>
    <t>명중률이 30% 증가합니다.</t>
  </si>
  <si>
    <t>미지의 주문</t>
  </si>
  <si>
    <t>효과 저항이 20%, 속도가 10% 감소합니다.</t>
  </si>
  <si>
    <t>보호막</t>
  </si>
  <si>
    <t>피해를 받 을 때 생명력을 대신해 정해진 수치만큼 피해를 흡수합니다.</t>
  </si>
  <si>
    <t>빙결</t>
  </si>
  <si>
    <t>속도가 3% 감소합니다. 턴 시작 시 시전자의 공격력에 비례해 소량의 빙결 피해를 받습니다.</t>
  </si>
  <si>
    <t>수호</t>
  </si>
  <si>
    <t>아군이 받는 피해의 30% 자신이 대신 받습니다. 피해량 분배 효과는 가장 높은 효과만 적용됩니다.</t>
  </si>
  <si>
    <t>스킬 피해 무효</t>
  </si>
  <si>
    <t>스킬에 대한 피해를 무효화합니다. 약화 효과로 인한 피해는 무효화하지 않습니다.</t>
  </si>
  <si>
    <t>연소</t>
  </si>
  <si>
    <t>턴 시작시 시전자의 공격력에 비례해 연소 피해를 받습니다.</t>
  </si>
  <si>
    <t>영몽의 빛</t>
  </si>
  <si>
    <t>공격력과 속도가 15% 증가합니다.</t>
  </si>
  <si>
    <t>은신</t>
  </si>
  <si>
    <t>다른 아군이 있을 경우 공격 대상으로 선택될 수 없습니다.</t>
  </si>
  <si>
    <t>잭팟 블룸</t>
  </si>
  <si>
    <t>치명타 확률과 치명타 피해가 20% 증가합니다.</t>
  </si>
  <si>
    <t>치명타 확률 증가</t>
  </si>
  <si>
    <t>치명타 확률이 30% 증가합니다.</t>
  </si>
  <si>
    <t>특급 배송</t>
  </si>
  <si>
    <t>공격력 증가 / 방어력 증가 / 속도 증가 / 지속 회복 중 무작위로 발생합니다.</t>
  </si>
  <si>
    <t>핀볼 타임!</t>
  </si>
  <si>
    <t>노멀볼(해제불가)/세븐볼(해제불가) 중 무작위로 발생합니다.</t>
  </si>
  <si>
    <t>스킬명</t>
  </si>
  <si>
    <t>피해량 1% 증가</t>
  </si>
  <si>
    <t>피해량 2% 증가</t>
  </si>
  <si>
    <t>피해량 3% 증가</t>
  </si>
  <si>
    <t>쿨타임 1턴 감소</t>
  </si>
  <si>
    <t>속도 감소 발생 확률 10% 증가</t>
  </si>
  <si>
    <t>속도 감소 발생 확률 15% 증가</t>
  </si>
  <si>
    <t>피해량 5% 증가</t>
  </si>
  <si>
    <t>뒤엉킨 꿈결 발생 확률 10% 증가</t>
  </si>
  <si>
    <t>뒤엉킨 꿈결 발생 확률 15% 증가</t>
  </si>
  <si>
    <t>빙결 발생 확률 10% 증가</t>
  </si>
  <si>
    <t>빙결 발생 확률 15% 증가</t>
  </si>
  <si>
    <t>방어력 감소 발생 확률 10% 증가</t>
  </si>
  <si>
    <t>방어력 감소 발생 확률 15% 증가</t>
  </si>
  <si>
    <t>속박 발생 확률 10% 증가</t>
  </si>
  <si>
    <t>속박 발생 확률 15% 증가</t>
  </si>
  <si>
    <t>미지의 주문 발생 확률 10% 증가</t>
  </si>
  <si>
    <t>미지의 주문 발생 확률 15% 증가</t>
  </si>
  <si>
    <t>보호막 2% 증가</t>
  </si>
  <si>
    <t>보호막 3% 증가</t>
  </si>
  <si>
    <t>보호막 5% 증가</t>
  </si>
  <si>
    <t>약화 효과 연장 발생 확률 10% 증가</t>
  </si>
  <si>
    <t>약화 효과 연장 발생 확률 15% 증가</t>
  </si>
  <si>
    <t>공격력 감소 발생 확률 10% 증가</t>
  </si>
  <si>
    <t>공격력 감소 발생 확률 15% 증가</t>
  </si>
  <si>
    <t>회복량 1% 증가</t>
  </si>
  <si>
    <t>회복량 2% 증가</t>
  </si>
  <si>
    <t>회복량 3% 증가</t>
  </si>
  <si>
    <t>공격력 증가 발생 확률 2% 증가</t>
  </si>
  <si>
    <t>공격력 증가 발생 확률 3% 증가</t>
  </si>
  <si>
    <t>공격력 증가 발생 확률 5% 증가</t>
  </si>
  <si>
    <t>행동 게이지 증가량 10% 증가</t>
  </si>
  <si>
    <t>회복량 5% 증가</t>
  </si>
  <si>
    <t>행동 게이지 증가량 1% 증가</t>
  </si>
  <si>
    <t>행동 게이지 증가량 2% 증가</t>
  </si>
  <si>
    <t>행동 게이지 증가량 3% 증가</t>
  </si>
  <si>
    <t>연소 발생 확률 10% 증가</t>
  </si>
  <si>
    <t>연소 발생 확률 15% 증가</t>
  </si>
  <si>
    <t>추가 연소 발생 확률 10% 증가</t>
  </si>
  <si>
    <t>추가 연소 발생 확률 15% 증가</t>
  </si>
  <si>
    <t>보호막 10% 증가</t>
  </si>
  <si>
    <t>속도 증가 발생 확률 10% 증가</t>
  </si>
  <si>
    <t>속도 증가 발생 확률 15% 증가</t>
  </si>
  <si>
    <t>최대레벨</t>
  </si>
  <si>
    <t>공격력</t>
  </si>
  <si>
    <t>체력</t>
  </si>
  <si>
    <t>방어력</t>
  </si>
  <si>
    <t>속도</t>
  </si>
  <si>
    <t>치명률</t>
  </si>
  <si>
    <t>치명뎀</t>
  </si>
  <si>
    <t>효과명중</t>
  </si>
  <si>
    <t>효과저항</t>
  </si>
  <si>
    <t>명중률</t>
  </si>
  <si>
    <t>힘</t>
  </si>
  <si>
    <t>인내</t>
  </si>
  <si>
    <t>집중</t>
  </si>
  <si>
    <t>보호</t>
  </si>
  <si>
    <t>잠재력1</t>
  </si>
  <si>
    <t>잠재력2</t>
  </si>
  <si>
    <t>잠재력3</t>
  </si>
  <si>
    <t>공격의 감각</t>
  </si>
  <si>
    <t>생명의 감각</t>
  </si>
  <si>
    <t>파괴의 감각</t>
  </si>
  <si>
    <t>통찰의솜씨</t>
  </si>
  <si>
    <t>속도의 감각</t>
  </si>
  <si>
    <t>집중의 감각</t>
  </si>
  <si>
    <t>속도의 솜씨</t>
  </si>
  <si>
    <t>집중의 솜씨</t>
  </si>
  <si>
    <t>통찰의 솜씨</t>
  </si>
  <si>
    <t>통찰의 감각</t>
  </si>
  <si>
    <t>보호의 감각</t>
  </si>
  <si>
    <t>방어의 감각</t>
  </si>
  <si>
    <t>공격의 솜씨</t>
  </si>
  <si>
    <t>파괴의 솜씨</t>
  </si>
  <si>
    <t>방어의 솜씨</t>
  </si>
  <si>
    <t>생명의 솜씨</t>
  </si>
  <si>
    <t>아무 내용이나 적어주세요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</si>
</sst>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mm&quot;월&quot;\ dd&quot;일&quot;"/>
    <numFmt numFmtId="177" formatCode="#&quot;cm&quot;"/>
  </numFmts>
  <fonts count="8">
    <font>
      <sz val="11"/>
      <color theme="1"/>
      <name val="Calibri"/>
      <scheme val="minor"/>
    </font>
    <font>
      <b/>
      <sz val="11"/>
      <color theme="1"/>
      <name val="Malgun Gothic"/>
      <family val="3"/>
      <charset val="129"/>
    </font>
    <font>
      <sz val="11"/>
      <color theme="1"/>
      <name val="Malgun Gothic"/>
      <family val="3"/>
      <charset val="129"/>
    </font>
    <font>
      <sz val="11"/>
      <color rgb="FF212529"/>
      <name val="Malgun Gothic"/>
      <family val="3"/>
      <charset val="129"/>
    </font>
    <font>
      <sz val="11"/>
      <color theme="1"/>
      <name val="Calibri"/>
      <scheme val="minor"/>
    </font>
    <font>
      <b/>
      <sz val="11"/>
      <color theme="1"/>
      <name val="Calibri"/>
      <scheme val="minor"/>
    </font>
    <font>
      <sz val="11"/>
      <color theme="1"/>
      <name val="Calibri"/>
    </font>
    <font>
      <sz val="8"/>
      <name val="Calibri"/>
      <family val="3"/>
      <charset val="129"/>
      <scheme val="minor"/>
    </font>
  </fonts>
  <fills count="5">
    <fill>
      <patternFill patternType="none"/>
    </fill>
    <fill>
      <patternFill patternType="gray125"/>
    </fill>
    <fill>
      <patternFill patternType="solid">
        <fgColor rgb="FFDEEAF6"/>
        <bgColor rgb="FFDEEAF6"/>
      </patternFill>
    </fill>
    <fill>
      <patternFill patternType="solid">
        <fgColor rgb="FFFFFFFF"/>
        <bgColor rgb="FFFFFFFF"/>
      </patternFill>
    </fill>
    <fill>
      <patternFill patternType="solid">
        <fgColor rgb="FFFBE4D5"/>
        <bgColor rgb="FFFBE4D5"/>
      </patternFill>
    </fill>
  </fills>
  <borders count="2">
    <border>
      <left/>
      <right/>
      <top/>
      <bottom/>
      <diagonal/>
    </border>
    <border>
      <left/>
      <right/>
      <top/>
      <bottom/>
      <diagonal/>
    </border>
  </borders>
  <cellStyleXfs count="1">
    <xf numFmtId="0" fontId="0" fillId="0" borderId="0"/>
  </cellStyleXfs>
  <cellXfs count="18">
    <xf numFmtId="0" fontId="0" fillId="0" borderId="0" xfId="0" applyFont="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177" fontId="2" fillId="0" borderId="0" xfId="0" applyNumberFormat="1" applyFont="1" applyAlignment="1">
      <alignment horizontal="center" vertical="center"/>
    </xf>
    <xf numFmtId="176" fontId="2" fillId="0" borderId="0" xfId="0" applyNumberFormat="1" applyFont="1" applyAlignment="1">
      <alignment horizontal="center" vertical="center"/>
    </xf>
    <xf numFmtId="0" fontId="3" fillId="3" borderId="0" xfId="0" applyFont="1" applyFill="1" applyAlignment="1">
      <alignment horizontal="left" vertical="center"/>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xf>
    <xf numFmtId="0" fontId="1" fillId="4" borderId="1" xfId="0" applyFont="1" applyFill="1" applyBorder="1" applyAlignment="1">
      <alignment horizontal="center" vertical="center"/>
    </xf>
    <xf numFmtId="9" fontId="2" fillId="0" borderId="0" xfId="0" applyNumberFormat="1" applyFont="1" applyAlignment="1">
      <alignment horizontal="center" vertical="center"/>
    </xf>
  </cellXfs>
  <cellStyles count="1">
    <cellStyle name="표준" xfId="0" builtinId="0"/>
  </cellStyles>
  <dxfs count="2">
    <dxf>
      <fill>
        <patternFill patternType="solid">
          <fgColor rgb="FFECFDFF"/>
          <bgColor rgb="FFECFDFF"/>
        </patternFill>
      </fill>
    </dxf>
    <dxf>
      <fill>
        <patternFill patternType="solid">
          <fgColor rgb="FFECFDFF"/>
          <bgColor rgb="FFECFD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tabSelected="1" workbookViewId="0">
      <pane xSplit="1" ySplit="1" topLeftCell="B2" activePane="bottomRight" state="frozen"/>
      <selection pane="topRight" activeCell="B1" sqref="B1"/>
      <selection pane="bottomLeft" activeCell="A2" sqref="A2"/>
      <selection pane="bottomRight" activeCell="H30" sqref="H30"/>
    </sheetView>
  </sheetViews>
  <sheetFormatPr defaultColWidth="14.42578125" defaultRowHeight="15" customHeight="1"/>
  <cols>
    <col min="1" max="1" width="12.28515625" customWidth="1"/>
    <col min="2" max="3" width="5.28515625" customWidth="1"/>
    <col min="4" max="4" width="11.5703125" customWidth="1"/>
    <col min="5" max="5" width="13.140625" customWidth="1"/>
    <col min="6" max="6" width="18.5703125" customWidth="1"/>
    <col min="7" max="7" width="10.7109375" customWidth="1"/>
    <col min="8" max="8" width="7.42578125" customWidth="1"/>
    <col min="9" max="9" width="16.5703125" customWidth="1"/>
    <col min="10" max="10" width="24.28515625" customWidth="1"/>
    <col min="11" max="11" width="8.140625" customWidth="1"/>
    <col min="12" max="12" width="16.5703125" customWidth="1"/>
    <col min="13" max="13" width="172.7109375" customWidth="1"/>
  </cols>
  <sheetData>
    <row r="1" spans="1:13" ht="16.5" customHeight="1">
      <c r="A1" s="1" t="s">
        <v>0</v>
      </c>
      <c r="B1" s="1" t="s">
        <v>1</v>
      </c>
      <c r="C1" s="1" t="s">
        <v>2</v>
      </c>
      <c r="D1" s="1" t="s">
        <v>3</v>
      </c>
      <c r="E1" s="1" t="s">
        <v>4</v>
      </c>
      <c r="F1" s="1" t="s">
        <v>5</v>
      </c>
      <c r="G1" s="1" t="s">
        <v>6</v>
      </c>
      <c r="H1" s="1" t="s">
        <v>7</v>
      </c>
      <c r="I1" s="1" t="s">
        <v>8</v>
      </c>
      <c r="J1" s="1" t="s">
        <v>9</v>
      </c>
      <c r="K1" s="2" t="s">
        <v>10</v>
      </c>
      <c r="L1" s="2" t="s">
        <v>11</v>
      </c>
      <c r="M1" s="1" t="s">
        <v>12</v>
      </c>
    </row>
    <row r="2" spans="1:13" ht="16.5" customHeight="1">
      <c r="A2" s="3" t="s">
        <v>13</v>
      </c>
      <c r="B2" s="4" t="s">
        <v>14</v>
      </c>
      <c r="C2" s="4" t="s">
        <v>15</v>
      </c>
      <c r="D2" s="4" t="s">
        <v>16</v>
      </c>
      <c r="E2" s="4" t="s">
        <v>17</v>
      </c>
      <c r="F2" s="4"/>
      <c r="G2" s="5">
        <v>45719</v>
      </c>
      <c r="H2" s="6">
        <v>158</v>
      </c>
      <c r="I2" s="4" t="s">
        <v>18</v>
      </c>
      <c r="J2" s="4" t="s">
        <v>19</v>
      </c>
      <c r="K2" s="4" t="s">
        <v>20</v>
      </c>
      <c r="L2" s="4" t="s">
        <v>21</v>
      </c>
      <c r="M2" s="4" t="s">
        <v>22</v>
      </c>
    </row>
    <row r="3" spans="1:13" ht="16.5" customHeight="1">
      <c r="A3" s="3" t="s">
        <v>23</v>
      </c>
      <c r="B3" s="4" t="s">
        <v>24</v>
      </c>
      <c r="C3" s="4" t="s">
        <v>15</v>
      </c>
      <c r="D3" s="4" t="s">
        <v>25</v>
      </c>
      <c r="E3" s="4" t="s">
        <v>17</v>
      </c>
      <c r="F3" s="3"/>
      <c r="G3" s="5">
        <v>45792</v>
      </c>
      <c r="H3" s="6">
        <v>160</v>
      </c>
      <c r="I3" s="4" t="s">
        <v>26</v>
      </c>
      <c r="J3" s="4" t="s">
        <v>27</v>
      </c>
      <c r="K3" s="4" t="s">
        <v>28</v>
      </c>
      <c r="L3" s="4" t="s">
        <v>29</v>
      </c>
      <c r="M3" s="4" t="s">
        <v>30</v>
      </c>
    </row>
    <row r="4" spans="1:13" ht="16.5" customHeight="1">
      <c r="A4" s="3" t="s">
        <v>31</v>
      </c>
      <c r="B4" s="4" t="s">
        <v>24</v>
      </c>
      <c r="C4" s="4" t="s">
        <v>32</v>
      </c>
      <c r="D4" s="4" t="s">
        <v>16</v>
      </c>
      <c r="E4" s="4" t="s">
        <v>17</v>
      </c>
      <c r="F4" s="3"/>
      <c r="G4" s="5">
        <v>45661</v>
      </c>
      <c r="H4" s="6">
        <v>170</v>
      </c>
      <c r="I4" s="4" t="s">
        <v>33</v>
      </c>
      <c r="J4" s="4" t="s">
        <v>34</v>
      </c>
      <c r="K4" s="4" t="s">
        <v>35</v>
      </c>
      <c r="L4" s="4" t="s">
        <v>36</v>
      </c>
      <c r="M4" s="4" t="s">
        <v>37</v>
      </c>
    </row>
    <row r="5" spans="1:13" ht="16.5" customHeight="1">
      <c r="A5" s="3" t="s">
        <v>38</v>
      </c>
      <c r="B5" s="4" t="s">
        <v>24</v>
      </c>
      <c r="C5" s="4" t="s">
        <v>39</v>
      </c>
      <c r="D5" s="4" t="s">
        <v>16</v>
      </c>
      <c r="E5" s="4" t="s">
        <v>40</v>
      </c>
      <c r="F5" s="3"/>
      <c r="G5" s="5">
        <v>46012</v>
      </c>
      <c r="H5" s="6">
        <v>167</v>
      </c>
      <c r="I5" s="4" t="s">
        <v>33</v>
      </c>
      <c r="J5" s="4" t="s">
        <v>19</v>
      </c>
      <c r="K5" s="4" t="s">
        <v>41</v>
      </c>
      <c r="L5" s="4" t="s">
        <v>42</v>
      </c>
      <c r="M5" s="4" t="s">
        <v>43</v>
      </c>
    </row>
    <row r="6" spans="1:13" ht="16.5" customHeight="1">
      <c r="A6" s="3" t="s">
        <v>44</v>
      </c>
      <c r="B6" s="4" t="s">
        <v>24</v>
      </c>
      <c r="C6" s="4" t="s">
        <v>45</v>
      </c>
      <c r="D6" s="4" t="s">
        <v>25</v>
      </c>
      <c r="E6" s="4" t="s">
        <v>17</v>
      </c>
      <c r="F6" s="4"/>
      <c r="G6" s="5">
        <v>45734</v>
      </c>
      <c r="H6" s="6">
        <v>167</v>
      </c>
      <c r="I6" s="4" t="s">
        <v>46</v>
      </c>
      <c r="J6" s="4" t="s">
        <v>47</v>
      </c>
      <c r="K6" s="4" t="s">
        <v>48</v>
      </c>
      <c r="L6" s="4" t="s">
        <v>49</v>
      </c>
      <c r="M6" s="4" t="s">
        <v>50</v>
      </c>
    </row>
    <row r="7" spans="1:13" ht="16.5" customHeight="1">
      <c r="A7" s="3" t="s">
        <v>51</v>
      </c>
      <c r="B7" s="4" t="s">
        <v>24</v>
      </c>
      <c r="C7" s="4" t="s">
        <v>32</v>
      </c>
      <c r="D7" s="4" t="s">
        <v>16</v>
      </c>
      <c r="E7" s="4" t="s">
        <v>40</v>
      </c>
      <c r="F7" s="4"/>
      <c r="G7" s="5">
        <v>45826</v>
      </c>
      <c r="H7" s="6">
        <v>156</v>
      </c>
      <c r="I7" s="4" t="s">
        <v>52</v>
      </c>
      <c r="J7" s="4" t="s">
        <v>53</v>
      </c>
      <c r="K7" s="4" t="s">
        <v>54</v>
      </c>
      <c r="L7" s="4" t="s">
        <v>55</v>
      </c>
      <c r="M7" s="4" t="s">
        <v>56</v>
      </c>
    </row>
    <row r="8" spans="1:13" ht="16.5" customHeight="1">
      <c r="A8" s="3" t="s">
        <v>57</v>
      </c>
      <c r="B8" s="4" t="s">
        <v>24</v>
      </c>
      <c r="C8" s="4" t="s">
        <v>39</v>
      </c>
      <c r="D8" s="4" t="s">
        <v>25</v>
      </c>
      <c r="E8" s="4" t="s">
        <v>40</v>
      </c>
      <c r="F8" s="4"/>
      <c r="G8" s="5">
        <v>45966</v>
      </c>
      <c r="H8" s="6">
        <v>151</v>
      </c>
      <c r="I8" s="4" t="s">
        <v>18</v>
      </c>
      <c r="J8" s="4" t="s">
        <v>58</v>
      </c>
      <c r="K8" s="4" t="s">
        <v>59</v>
      </c>
      <c r="L8" s="4" t="s">
        <v>60</v>
      </c>
      <c r="M8" s="4" t="s">
        <v>61</v>
      </c>
    </row>
    <row r="9" spans="1:13" ht="16.5" customHeight="1">
      <c r="A9" s="3" t="s">
        <v>62</v>
      </c>
      <c r="B9" s="4" t="s">
        <v>14</v>
      </c>
      <c r="C9" s="4" t="s">
        <v>63</v>
      </c>
      <c r="D9" s="4" t="s">
        <v>64</v>
      </c>
      <c r="E9" s="4" t="s">
        <v>65</v>
      </c>
      <c r="F9" s="4"/>
      <c r="G9" s="5">
        <v>45919</v>
      </c>
      <c r="H9" s="6">
        <v>148</v>
      </c>
      <c r="I9" s="4" t="s">
        <v>66</v>
      </c>
      <c r="J9" s="4" t="s">
        <v>67</v>
      </c>
      <c r="K9" s="4" t="s">
        <v>68</v>
      </c>
      <c r="L9" s="4" t="s">
        <v>69</v>
      </c>
      <c r="M9" s="4" t="s">
        <v>70</v>
      </c>
    </row>
    <row r="10" spans="1:13" ht="16.5" customHeight="1">
      <c r="A10" s="3" t="s">
        <v>71</v>
      </c>
      <c r="B10" s="4" t="s">
        <v>24</v>
      </c>
      <c r="C10" s="4" t="s">
        <v>63</v>
      </c>
      <c r="D10" s="4" t="s">
        <v>25</v>
      </c>
      <c r="E10" s="4" t="s">
        <v>17</v>
      </c>
      <c r="F10" s="3"/>
      <c r="G10" s="5">
        <v>45718</v>
      </c>
      <c r="H10" s="6">
        <v>152</v>
      </c>
      <c r="I10" s="4" t="s">
        <v>26</v>
      </c>
      <c r="J10" s="4" t="s">
        <v>72</v>
      </c>
      <c r="K10" s="4" t="s">
        <v>73</v>
      </c>
      <c r="L10" s="4" t="s">
        <v>74</v>
      </c>
      <c r="M10" s="4" t="s">
        <v>75</v>
      </c>
    </row>
    <row r="11" spans="1:13" ht="16.5" customHeight="1">
      <c r="A11" s="3" t="s">
        <v>76</v>
      </c>
      <c r="B11" s="4" t="s">
        <v>14</v>
      </c>
      <c r="C11" s="4" t="s">
        <v>39</v>
      </c>
      <c r="D11" s="4" t="s">
        <v>77</v>
      </c>
      <c r="E11" s="4" t="s">
        <v>17</v>
      </c>
      <c r="F11" s="4"/>
      <c r="G11" s="5">
        <v>45714</v>
      </c>
      <c r="H11" s="6">
        <v>157</v>
      </c>
      <c r="I11" s="4" t="s">
        <v>18</v>
      </c>
      <c r="J11" s="4" t="s">
        <v>78</v>
      </c>
      <c r="K11" s="4" t="s">
        <v>79</v>
      </c>
      <c r="L11" s="4" t="s">
        <v>80</v>
      </c>
      <c r="M11" s="4" t="s">
        <v>81</v>
      </c>
    </row>
    <row r="12" spans="1:13" ht="16.5" customHeight="1">
      <c r="A12" s="3" t="s">
        <v>82</v>
      </c>
      <c r="B12" s="4" t="s">
        <v>14</v>
      </c>
      <c r="C12" s="4" t="s">
        <v>15</v>
      </c>
      <c r="D12" s="4" t="s">
        <v>83</v>
      </c>
      <c r="E12" s="4" t="s">
        <v>65</v>
      </c>
      <c r="F12" s="4"/>
      <c r="G12" s="5">
        <v>45745</v>
      </c>
      <c r="H12" s="6">
        <v>162</v>
      </c>
      <c r="I12" s="4" t="s">
        <v>52</v>
      </c>
      <c r="J12" s="4" t="s">
        <v>53</v>
      </c>
      <c r="K12" s="4" t="s">
        <v>84</v>
      </c>
      <c r="L12" s="4" t="s">
        <v>85</v>
      </c>
      <c r="M12" s="4" t="s">
        <v>86</v>
      </c>
    </row>
    <row r="13" spans="1:13" ht="16.5" customHeight="1">
      <c r="A13" s="3" t="s">
        <v>87</v>
      </c>
      <c r="B13" s="4" t="s">
        <v>24</v>
      </c>
      <c r="C13" s="4" t="s">
        <v>63</v>
      </c>
      <c r="D13" s="4" t="s">
        <v>88</v>
      </c>
      <c r="E13" s="4" t="s">
        <v>89</v>
      </c>
      <c r="F13" s="4"/>
      <c r="G13" s="5">
        <v>45950</v>
      </c>
      <c r="H13" s="6">
        <v>166</v>
      </c>
      <c r="I13" s="4" t="s">
        <v>90</v>
      </c>
      <c r="J13" s="4" t="s">
        <v>91</v>
      </c>
      <c r="K13" s="4" t="s">
        <v>92</v>
      </c>
      <c r="L13" s="4" t="s">
        <v>93</v>
      </c>
      <c r="M13" s="4" t="s">
        <v>94</v>
      </c>
    </row>
    <row r="14" spans="1:13" ht="16.5" customHeight="1">
      <c r="A14" s="3" t="s">
        <v>95</v>
      </c>
      <c r="B14" s="4" t="s">
        <v>24</v>
      </c>
      <c r="C14" s="4" t="s">
        <v>63</v>
      </c>
      <c r="D14" s="4" t="s">
        <v>77</v>
      </c>
      <c r="E14" s="4" t="s">
        <v>40</v>
      </c>
      <c r="F14" s="4"/>
      <c r="G14" s="5">
        <v>45755</v>
      </c>
      <c r="H14" s="6">
        <v>149</v>
      </c>
      <c r="I14" s="4" t="s">
        <v>33</v>
      </c>
      <c r="J14" s="4" t="s">
        <v>96</v>
      </c>
      <c r="K14" s="4" t="s">
        <v>97</v>
      </c>
      <c r="L14" s="4" t="s">
        <v>98</v>
      </c>
      <c r="M14" s="4" t="s">
        <v>99</v>
      </c>
    </row>
    <row r="15" spans="1:13" ht="16.5" customHeight="1">
      <c r="A15" s="3" t="s">
        <v>100</v>
      </c>
      <c r="B15" s="4" t="s">
        <v>24</v>
      </c>
      <c r="C15" s="4" t="s">
        <v>45</v>
      </c>
      <c r="D15" s="4" t="s">
        <v>88</v>
      </c>
      <c r="E15" s="4" t="s">
        <v>40</v>
      </c>
      <c r="F15" s="3"/>
      <c r="G15" s="7">
        <v>46000</v>
      </c>
      <c r="H15" s="6">
        <v>165</v>
      </c>
      <c r="I15" s="4" t="s">
        <v>46</v>
      </c>
      <c r="J15" s="4" t="s">
        <v>101</v>
      </c>
      <c r="K15" s="4" t="s">
        <v>102</v>
      </c>
      <c r="L15" s="4" t="s">
        <v>103</v>
      </c>
      <c r="M15" s="4" t="s">
        <v>104</v>
      </c>
    </row>
    <row r="16" spans="1:13" ht="16.5" customHeight="1">
      <c r="A16" s="3" t="s">
        <v>105</v>
      </c>
      <c r="B16" s="4" t="s">
        <v>24</v>
      </c>
      <c r="C16" s="4" t="s">
        <v>15</v>
      </c>
      <c r="D16" s="4" t="s">
        <v>16</v>
      </c>
      <c r="E16" s="4" t="s">
        <v>65</v>
      </c>
      <c r="F16" s="4"/>
      <c r="G16" s="5">
        <v>45971</v>
      </c>
      <c r="H16" s="6">
        <v>148</v>
      </c>
      <c r="I16" s="4" t="s">
        <v>18</v>
      </c>
      <c r="J16" s="4" t="s">
        <v>47</v>
      </c>
      <c r="K16" s="4" t="s">
        <v>106</v>
      </c>
      <c r="L16" s="4" t="s">
        <v>107</v>
      </c>
      <c r="M16" s="8" t="s">
        <v>108</v>
      </c>
    </row>
    <row r="17" spans="1:13" ht="16.5" customHeight="1">
      <c r="A17" s="3" t="s">
        <v>109</v>
      </c>
      <c r="B17" s="4" t="s">
        <v>14</v>
      </c>
      <c r="C17" s="4" t="s">
        <v>63</v>
      </c>
      <c r="D17" s="4" t="s">
        <v>88</v>
      </c>
      <c r="E17" s="4" t="s">
        <v>17</v>
      </c>
      <c r="F17" s="4" t="s">
        <v>110</v>
      </c>
      <c r="G17" s="5">
        <v>45782</v>
      </c>
      <c r="H17" s="6">
        <v>155</v>
      </c>
      <c r="I17" s="4" t="s">
        <v>111</v>
      </c>
      <c r="J17" s="4" t="s">
        <v>112</v>
      </c>
      <c r="K17" s="4" t="s">
        <v>113</v>
      </c>
      <c r="L17" s="4" t="s">
        <v>114</v>
      </c>
      <c r="M17" s="4" t="s">
        <v>115</v>
      </c>
    </row>
    <row r="18" spans="1:13" ht="16.5" customHeight="1">
      <c r="A18" s="4" t="s">
        <v>116</v>
      </c>
      <c r="B18" s="4" t="s">
        <v>24</v>
      </c>
      <c r="C18" s="4" t="s">
        <v>63</v>
      </c>
      <c r="D18" s="4" t="s">
        <v>16</v>
      </c>
      <c r="E18" s="4" t="s">
        <v>65</v>
      </c>
      <c r="F18" s="4" t="s">
        <v>110</v>
      </c>
      <c r="G18" s="5">
        <v>45782</v>
      </c>
      <c r="H18" s="6">
        <v>155</v>
      </c>
      <c r="I18" s="4" t="s">
        <v>111</v>
      </c>
      <c r="J18" s="4" t="s">
        <v>112</v>
      </c>
      <c r="K18" s="4" t="s">
        <v>113</v>
      </c>
      <c r="L18" s="4" t="s">
        <v>114</v>
      </c>
      <c r="M18" s="4" t="s">
        <v>115</v>
      </c>
    </row>
    <row r="19" spans="1:13" ht="16.5" customHeight="1">
      <c r="A19" s="3" t="s">
        <v>117</v>
      </c>
      <c r="B19" s="3" t="s">
        <v>24</v>
      </c>
      <c r="C19" s="3" t="s">
        <v>39</v>
      </c>
      <c r="D19" s="3" t="s">
        <v>88</v>
      </c>
      <c r="E19" s="4" t="s">
        <v>89</v>
      </c>
      <c r="F19" s="3" t="s">
        <v>118</v>
      </c>
      <c r="G19" s="5">
        <v>45769</v>
      </c>
      <c r="H19" s="6">
        <v>166</v>
      </c>
      <c r="I19" s="3" t="s">
        <v>18</v>
      </c>
      <c r="J19" s="3" t="s">
        <v>47</v>
      </c>
      <c r="K19" s="3" t="s">
        <v>119</v>
      </c>
      <c r="L19" s="3" t="s">
        <v>120</v>
      </c>
      <c r="M19" s="9" t="s">
        <v>121</v>
      </c>
    </row>
    <row r="20" spans="1:13" ht="16.5" customHeight="1">
      <c r="A20" s="3" t="s">
        <v>122</v>
      </c>
      <c r="B20" s="4" t="s">
        <v>14</v>
      </c>
      <c r="C20" s="4" t="s">
        <v>63</v>
      </c>
      <c r="D20" s="4" t="s">
        <v>83</v>
      </c>
      <c r="E20" s="4" t="s">
        <v>65</v>
      </c>
      <c r="F20" s="4"/>
      <c r="G20" s="5">
        <v>45907</v>
      </c>
      <c r="H20" s="6">
        <v>157</v>
      </c>
      <c r="I20" s="4" t="s">
        <v>18</v>
      </c>
      <c r="J20" s="4" t="s">
        <v>123</v>
      </c>
      <c r="K20" s="4" t="s">
        <v>124</v>
      </c>
      <c r="L20" s="4" t="s">
        <v>125</v>
      </c>
      <c r="M20" s="4" t="s">
        <v>126</v>
      </c>
    </row>
    <row r="21" spans="1:13" ht="16.5" customHeight="1">
      <c r="A21" s="3" t="s">
        <v>127</v>
      </c>
      <c r="B21" s="4" t="s">
        <v>24</v>
      </c>
      <c r="C21" s="4" t="s">
        <v>15</v>
      </c>
      <c r="D21" s="4" t="s">
        <v>83</v>
      </c>
      <c r="E21" s="4" t="s">
        <v>89</v>
      </c>
      <c r="F21" s="3"/>
      <c r="G21" s="7">
        <v>45677</v>
      </c>
      <c r="H21" s="6">
        <v>153</v>
      </c>
      <c r="I21" s="4" t="s">
        <v>128</v>
      </c>
      <c r="J21" s="4" t="s">
        <v>129</v>
      </c>
      <c r="K21" s="4" t="s">
        <v>130</v>
      </c>
      <c r="L21" s="4" t="s">
        <v>131</v>
      </c>
      <c r="M21" s="4" t="s">
        <v>132</v>
      </c>
    </row>
    <row r="22" spans="1:13" ht="16.5" customHeight="1">
      <c r="A22" s="3" t="s">
        <v>133</v>
      </c>
      <c r="B22" s="4" t="s">
        <v>24</v>
      </c>
      <c r="C22" s="4" t="s">
        <v>39</v>
      </c>
      <c r="D22" s="4" t="s">
        <v>64</v>
      </c>
      <c r="E22" s="4" t="s">
        <v>89</v>
      </c>
      <c r="F22" s="3"/>
      <c r="G22" s="7">
        <v>45887</v>
      </c>
      <c r="H22" s="6" t="s">
        <v>134</v>
      </c>
      <c r="I22" s="4" t="s">
        <v>18</v>
      </c>
      <c r="J22" s="4" t="s">
        <v>135</v>
      </c>
      <c r="K22" s="4" t="s">
        <v>136</v>
      </c>
      <c r="L22" s="4" t="s">
        <v>137</v>
      </c>
      <c r="M22" s="4" t="s">
        <v>138</v>
      </c>
    </row>
    <row r="23" spans="1:13" ht="16.5" customHeight="1">
      <c r="A23" s="3" t="s">
        <v>139</v>
      </c>
      <c r="B23" s="4" t="s">
        <v>24</v>
      </c>
      <c r="C23" s="4" t="s">
        <v>32</v>
      </c>
      <c r="D23" s="4" t="s">
        <v>77</v>
      </c>
      <c r="E23" s="4" t="s">
        <v>40</v>
      </c>
      <c r="F23" s="3"/>
      <c r="G23" s="7">
        <v>45914</v>
      </c>
      <c r="H23" s="6" t="s">
        <v>140</v>
      </c>
      <c r="I23" s="4" t="s">
        <v>18</v>
      </c>
      <c r="J23" s="4" t="s">
        <v>72</v>
      </c>
      <c r="K23" s="4" t="s">
        <v>141</v>
      </c>
      <c r="L23" s="4" t="s">
        <v>142</v>
      </c>
      <c r="M23" s="4" t="s">
        <v>143</v>
      </c>
    </row>
    <row r="24" spans="1:13" ht="16.5" customHeight="1">
      <c r="A24" s="3" t="s">
        <v>144</v>
      </c>
      <c r="B24" s="4" t="s">
        <v>24</v>
      </c>
      <c r="C24" s="4" t="s">
        <v>39</v>
      </c>
      <c r="D24" s="4" t="s">
        <v>83</v>
      </c>
      <c r="E24" s="4" t="s">
        <v>65</v>
      </c>
      <c r="F24" s="4"/>
      <c r="G24" s="5">
        <v>45880</v>
      </c>
      <c r="H24" s="6">
        <v>168</v>
      </c>
      <c r="I24" s="4" t="s">
        <v>90</v>
      </c>
      <c r="J24" s="4" t="s">
        <v>91</v>
      </c>
      <c r="K24" s="4" t="s">
        <v>145</v>
      </c>
      <c r="L24" s="4" t="s">
        <v>146</v>
      </c>
      <c r="M24" s="4" t="s">
        <v>147</v>
      </c>
    </row>
    <row r="25" spans="1:13" ht="16.5" customHeight="1">
      <c r="A25" s="3" t="s">
        <v>148</v>
      </c>
      <c r="B25" s="4" t="s">
        <v>14</v>
      </c>
      <c r="C25" s="4" t="s">
        <v>15</v>
      </c>
      <c r="D25" s="4" t="s">
        <v>16</v>
      </c>
      <c r="E25" s="4" t="s">
        <v>65</v>
      </c>
      <c r="F25" s="3"/>
      <c r="G25" s="7">
        <v>45970</v>
      </c>
      <c r="H25" s="6" t="s">
        <v>149</v>
      </c>
      <c r="I25" s="4" t="s">
        <v>26</v>
      </c>
      <c r="J25" s="4" t="s">
        <v>27</v>
      </c>
      <c r="K25" s="4" t="s">
        <v>150</v>
      </c>
      <c r="L25" s="4" t="s">
        <v>151</v>
      </c>
      <c r="M25" s="4" t="s">
        <v>152</v>
      </c>
    </row>
    <row r="26" spans="1:13" ht="16.5" customHeight="1">
      <c r="A26" s="3" t="s">
        <v>153</v>
      </c>
      <c r="B26" s="4" t="s">
        <v>14</v>
      </c>
      <c r="C26" s="4" t="s">
        <v>15</v>
      </c>
      <c r="D26" s="4" t="s">
        <v>64</v>
      </c>
      <c r="E26" s="4" t="s">
        <v>89</v>
      </c>
      <c r="F26" s="4"/>
      <c r="G26" s="5">
        <v>45687</v>
      </c>
      <c r="H26" s="6">
        <v>162</v>
      </c>
      <c r="I26" s="4" t="s">
        <v>18</v>
      </c>
      <c r="J26" s="4" t="s">
        <v>112</v>
      </c>
      <c r="K26" s="4" t="s">
        <v>154</v>
      </c>
      <c r="L26" s="4" t="s">
        <v>155</v>
      </c>
      <c r="M26" s="4" t="s">
        <v>156</v>
      </c>
    </row>
    <row r="27" spans="1:13" ht="16.5" customHeight="1">
      <c r="A27" s="4" t="s">
        <v>157</v>
      </c>
      <c r="B27" s="4" t="s">
        <v>24</v>
      </c>
      <c r="C27" s="4" t="s">
        <v>15</v>
      </c>
      <c r="D27" s="4" t="s">
        <v>88</v>
      </c>
      <c r="E27" s="4" t="s">
        <v>65</v>
      </c>
      <c r="F27" s="4"/>
      <c r="G27" s="5">
        <v>45687</v>
      </c>
      <c r="H27" s="6">
        <v>162</v>
      </c>
      <c r="I27" s="4" t="s">
        <v>18</v>
      </c>
      <c r="J27" s="4" t="s">
        <v>112</v>
      </c>
      <c r="K27" s="4" t="s">
        <v>154</v>
      </c>
      <c r="L27" s="4" t="s">
        <v>155</v>
      </c>
      <c r="M27" s="4" t="s">
        <v>156</v>
      </c>
    </row>
    <row r="28" spans="1:13" ht="16.5" customHeight="1">
      <c r="A28" s="3" t="s">
        <v>158</v>
      </c>
      <c r="B28" s="4" t="s">
        <v>24</v>
      </c>
      <c r="C28" s="4" t="s">
        <v>63</v>
      </c>
      <c r="D28" s="4" t="s">
        <v>64</v>
      </c>
      <c r="E28" s="4" t="s">
        <v>40</v>
      </c>
      <c r="F28" s="4"/>
      <c r="G28" s="5">
        <v>45751</v>
      </c>
      <c r="H28" s="6">
        <v>155</v>
      </c>
      <c r="I28" s="4" t="s">
        <v>18</v>
      </c>
      <c r="J28" s="4" t="s">
        <v>159</v>
      </c>
      <c r="K28" s="4" t="s">
        <v>160</v>
      </c>
      <c r="L28" s="4" t="s">
        <v>161</v>
      </c>
      <c r="M28" s="4" t="s">
        <v>162</v>
      </c>
    </row>
    <row r="29" spans="1:13" ht="16.5" customHeight="1">
      <c r="A29" s="3" t="s">
        <v>163</v>
      </c>
      <c r="B29" s="4" t="s">
        <v>24</v>
      </c>
      <c r="C29" s="4" t="s">
        <v>15</v>
      </c>
      <c r="D29" s="4" t="s">
        <v>88</v>
      </c>
      <c r="E29" s="4" t="s">
        <v>65</v>
      </c>
      <c r="F29" s="4"/>
      <c r="G29" s="5">
        <v>45992</v>
      </c>
      <c r="H29" s="6">
        <v>173</v>
      </c>
      <c r="I29" s="4" t="s">
        <v>46</v>
      </c>
      <c r="J29" s="4" t="s">
        <v>67</v>
      </c>
      <c r="K29" s="4" t="s">
        <v>164</v>
      </c>
      <c r="L29" s="4" t="s">
        <v>165</v>
      </c>
      <c r="M29" s="4" t="s">
        <v>166</v>
      </c>
    </row>
    <row r="30" spans="1:13" ht="16.5" customHeight="1">
      <c r="A30" s="3" t="s">
        <v>167</v>
      </c>
      <c r="B30" s="4" t="s">
        <v>24</v>
      </c>
      <c r="C30" s="4" t="s">
        <v>15</v>
      </c>
      <c r="D30" s="4" t="s">
        <v>64</v>
      </c>
      <c r="E30" s="4" t="s">
        <v>89</v>
      </c>
      <c r="F30" s="3"/>
      <c r="G30" s="7">
        <v>45934</v>
      </c>
      <c r="H30" s="6" t="s">
        <v>168</v>
      </c>
      <c r="I30" s="4" t="s">
        <v>18</v>
      </c>
      <c r="J30" s="4" t="s">
        <v>169</v>
      </c>
      <c r="K30" s="4" t="s">
        <v>170</v>
      </c>
      <c r="L30" s="4" t="s">
        <v>171</v>
      </c>
      <c r="M30" s="4" t="s">
        <v>172</v>
      </c>
    </row>
    <row r="31" spans="1:13" ht="16.5" customHeight="1">
      <c r="A31" s="3" t="s">
        <v>173</v>
      </c>
      <c r="B31" s="4" t="s">
        <v>24</v>
      </c>
      <c r="C31" s="4" t="s">
        <v>63</v>
      </c>
      <c r="D31" s="4" t="s">
        <v>16</v>
      </c>
      <c r="E31" s="4" t="s">
        <v>65</v>
      </c>
      <c r="F31" s="4"/>
      <c r="G31" s="5">
        <v>45951</v>
      </c>
      <c r="H31" s="6">
        <v>155</v>
      </c>
      <c r="I31" s="4" t="s">
        <v>66</v>
      </c>
      <c r="J31" s="4" t="s">
        <v>67</v>
      </c>
      <c r="K31" s="4" t="s">
        <v>174</v>
      </c>
      <c r="L31" s="4" t="s">
        <v>175</v>
      </c>
      <c r="M31" s="4" t="s">
        <v>176</v>
      </c>
    </row>
    <row r="32" spans="1:13" ht="16.5" customHeight="1">
      <c r="A32" s="3" t="s">
        <v>177</v>
      </c>
      <c r="B32" s="4" t="s">
        <v>24</v>
      </c>
      <c r="C32" s="4" t="s">
        <v>15</v>
      </c>
      <c r="D32" s="4" t="s">
        <v>77</v>
      </c>
      <c r="E32" s="4" t="s">
        <v>65</v>
      </c>
      <c r="F32" s="4"/>
      <c r="G32" s="5">
        <v>45845</v>
      </c>
      <c r="H32" s="6">
        <v>156</v>
      </c>
      <c r="I32" s="4" t="s">
        <v>90</v>
      </c>
      <c r="J32" s="4" t="s">
        <v>91</v>
      </c>
      <c r="K32" s="4" t="s">
        <v>178</v>
      </c>
      <c r="L32" s="4" t="s">
        <v>179</v>
      </c>
      <c r="M32" s="4" t="s">
        <v>180</v>
      </c>
    </row>
    <row r="33" spans="1:13" ht="16.5" customHeight="1">
      <c r="A33" s="3" t="s">
        <v>181</v>
      </c>
      <c r="B33" s="4" t="s">
        <v>24</v>
      </c>
      <c r="C33" s="4" t="s">
        <v>63</v>
      </c>
      <c r="D33" s="4" t="s">
        <v>83</v>
      </c>
      <c r="E33" s="4" t="s">
        <v>65</v>
      </c>
      <c r="F33" s="3"/>
      <c r="G33" s="7">
        <v>45851</v>
      </c>
      <c r="H33" s="6">
        <v>150</v>
      </c>
      <c r="I33" s="4" t="s">
        <v>52</v>
      </c>
      <c r="J33" s="4" t="s">
        <v>182</v>
      </c>
      <c r="K33" s="4" t="s">
        <v>183</v>
      </c>
      <c r="L33" s="4" t="s">
        <v>184</v>
      </c>
      <c r="M33" s="4" t="s">
        <v>185</v>
      </c>
    </row>
  </sheetData>
  <phoneticPr fontId="7" type="noConversion"/>
  <conditionalFormatting sqref="A1:M33">
    <cfRule type="containsBlanks" dxfId="1" priority="1">
      <formula>LEN(TRIM(A1))=0</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pane xSplit="1" ySplit="1" topLeftCell="B2" activePane="bottomRight" state="frozen"/>
      <selection pane="topRight" activeCell="B1" sqref="B1"/>
      <selection pane="bottomLeft" activeCell="A2" sqref="A2"/>
      <selection pane="bottomRight" activeCell="B18" sqref="B18"/>
    </sheetView>
  </sheetViews>
  <sheetFormatPr defaultColWidth="14.42578125" defaultRowHeight="15" customHeight="1"/>
  <cols>
    <col min="1" max="1" width="11.7109375" customWidth="1"/>
    <col min="2" max="2" width="20.7109375" customWidth="1"/>
    <col min="3" max="3" width="118.7109375" customWidth="1"/>
    <col min="4" max="4" width="19.42578125" customWidth="1"/>
    <col min="5" max="5" width="15.42578125" customWidth="1"/>
    <col min="6" max="6" width="17.85546875" customWidth="1"/>
    <col min="7" max="7" width="67" customWidth="1"/>
    <col min="8" max="8" width="58" customWidth="1"/>
    <col min="9" max="9" width="21.42578125" customWidth="1"/>
    <col min="10" max="12" width="12" customWidth="1"/>
    <col min="13" max="13" width="97.28515625" customWidth="1"/>
    <col min="14" max="14" width="58" customWidth="1"/>
    <col min="15" max="15" width="24.140625" customWidth="1"/>
    <col min="16" max="18" width="12" customWidth="1"/>
    <col min="19" max="19" width="97.28515625" customWidth="1"/>
    <col min="20" max="20" width="58" customWidth="1"/>
  </cols>
  <sheetData>
    <row r="1" spans="1:20" ht="16.5" customHeight="1">
      <c r="A1" s="1" t="s">
        <v>0</v>
      </c>
      <c r="B1" s="1" t="s">
        <v>186</v>
      </c>
      <c r="C1" s="1" t="s">
        <v>187</v>
      </c>
      <c r="D1" s="1" t="s">
        <v>188</v>
      </c>
      <c r="E1" s="1" t="s">
        <v>189</v>
      </c>
      <c r="F1" s="1" t="s">
        <v>190</v>
      </c>
      <c r="G1" s="1" t="s">
        <v>191</v>
      </c>
      <c r="H1" s="1" t="s">
        <v>192</v>
      </c>
      <c r="I1" s="1" t="s">
        <v>193</v>
      </c>
      <c r="J1" s="1" t="s">
        <v>194</v>
      </c>
      <c r="K1" s="1" t="s">
        <v>195</v>
      </c>
      <c r="L1" s="1" t="s">
        <v>196</v>
      </c>
      <c r="M1" s="1" t="s">
        <v>197</v>
      </c>
      <c r="N1" s="1" t="s">
        <v>198</v>
      </c>
      <c r="O1" s="1" t="s">
        <v>199</v>
      </c>
      <c r="P1" s="1" t="s">
        <v>200</v>
      </c>
      <c r="Q1" s="1" t="s">
        <v>201</v>
      </c>
      <c r="R1" s="1" t="s">
        <v>202</v>
      </c>
      <c r="S1" s="1" t="s">
        <v>203</v>
      </c>
      <c r="T1" s="1" t="s">
        <v>204</v>
      </c>
    </row>
    <row r="2" spans="1:20" ht="16.5" customHeight="1">
      <c r="A2" s="3" t="s">
        <v>13</v>
      </c>
      <c r="B2" s="4" t="s">
        <v>205</v>
      </c>
      <c r="C2" s="4" t="s">
        <v>206</v>
      </c>
      <c r="D2" s="4" t="s">
        <v>207</v>
      </c>
      <c r="E2" s="4" t="s">
        <v>17</v>
      </c>
      <c r="F2" s="4" t="s">
        <v>208</v>
      </c>
      <c r="G2" s="4" t="s">
        <v>209</v>
      </c>
      <c r="H2" s="4" t="s">
        <v>210</v>
      </c>
      <c r="I2" s="4" t="s">
        <v>211</v>
      </c>
      <c r="J2" s="4" t="s">
        <v>17</v>
      </c>
      <c r="K2" s="4" t="s">
        <v>208</v>
      </c>
      <c r="L2" s="4" t="s">
        <v>212</v>
      </c>
      <c r="M2" s="4" t="s">
        <v>213</v>
      </c>
      <c r="N2" s="4" t="s">
        <v>210</v>
      </c>
      <c r="O2" s="4" t="s">
        <v>214</v>
      </c>
      <c r="P2" s="4" t="s">
        <v>17</v>
      </c>
      <c r="Q2" s="4" t="s">
        <v>208</v>
      </c>
      <c r="R2" s="4" t="s">
        <v>215</v>
      </c>
      <c r="S2" s="4" t="s">
        <v>216</v>
      </c>
      <c r="T2" s="4" t="s">
        <v>217</v>
      </c>
    </row>
    <row r="3" spans="1:20" ht="16.5" customHeight="1">
      <c r="A3" s="3" t="s">
        <v>23</v>
      </c>
      <c r="B3" s="4" t="s">
        <v>218</v>
      </c>
      <c r="C3" s="4" t="s">
        <v>219</v>
      </c>
      <c r="D3" s="4" t="s">
        <v>220</v>
      </c>
      <c r="E3" s="4" t="s">
        <v>17</v>
      </c>
      <c r="F3" s="4" t="s">
        <v>208</v>
      </c>
      <c r="G3" s="4" t="s">
        <v>221</v>
      </c>
      <c r="H3" s="4" t="s">
        <v>210</v>
      </c>
      <c r="I3" s="4" t="s">
        <v>222</v>
      </c>
      <c r="J3" s="4" t="s">
        <v>17</v>
      </c>
      <c r="K3" s="4" t="s">
        <v>208</v>
      </c>
      <c r="L3" s="4" t="s">
        <v>212</v>
      </c>
      <c r="M3" s="4" t="s">
        <v>223</v>
      </c>
      <c r="N3" s="4" t="s">
        <v>224</v>
      </c>
      <c r="O3" s="4" t="s">
        <v>225</v>
      </c>
      <c r="P3" s="4" t="s">
        <v>17</v>
      </c>
      <c r="Q3" s="4" t="s">
        <v>226</v>
      </c>
      <c r="R3" s="4" t="s">
        <v>227</v>
      </c>
      <c r="S3" s="4" t="s">
        <v>228</v>
      </c>
      <c r="T3" s="4" t="s">
        <v>210</v>
      </c>
    </row>
    <row r="4" spans="1:20" ht="16.5" customHeight="1">
      <c r="A4" s="3" t="s">
        <v>31</v>
      </c>
      <c r="B4" s="4" t="s">
        <v>229</v>
      </c>
      <c r="C4" s="4" t="s">
        <v>230</v>
      </c>
      <c r="D4" s="4" t="s">
        <v>231</v>
      </c>
      <c r="E4" s="4" t="s">
        <v>17</v>
      </c>
      <c r="F4" s="4" t="s">
        <v>208</v>
      </c>
      <c r="G4" s="4" t="s">
        <v>232</v>
      </c>
      <c r="H4" s="4" t="s">
        <v>210</v>
      </c>
      <c r="I4" s="4" t="s">
        <v>233</v>
      </c>
      <c r="J4" s="4" t="s">
        <v>17</v>
      </c>
      <c r="K4" s="4" t="s">
        <v>208</v>
      </c>
      <c r="L4" s="4" t="s">
        <v>212</v>
      </c>
      <c r="M4" s="4" t="s">
        <v>234</v>
      </c>
      <c r="N4" s="4" t="s">
        <v>235</v>
      </c>
      <c r="O4" s="4" t="s">
        <v>236</v>
      </c>
      <c r="P4" s="4" t="s">
        <v>17</v>
      </c>
      <c r="Q4" s="4" t="s">
        <v>226</v>
      </c>
      <c r="R4" s="4" t="s">
        <v>227</v>
      </c>
      <c r="S4" s="4" t="s">
        <v>237</v>
      </c>
      <c r="T4" s="4" t="s">
        <v>210</v>
      </c>
    </row>
    <row r="5" spans="1:20" ht="16.5" customHeight="1">
      <c r="A5" s="3" t="s">
        <v>38</v>
      </c>
      <c r="B5" s="4" t="s">
        <v>238</v>
      </c>
      <c r="C5" s="4" t="s">
        <v>239</v>
      </c>
      <c r="D5" s="4" t="s">
        <v>240</v>
      </c>
      <c r="E5" s="4" t="s">
        <v>40</v>
      </c>
      <c r="F5" s="4" t="s">
        <v>208</v>
      </c>
      <c r="G5" s="4" t="s">
        <v>241</v>
      </c>
      <c r="H5" s="4" t="s">
        <v>210</v>
      </c>
      <c r="I5" s="4" t="s">
        <v>242</v>
      </c>
      <c r="J5" s="4" t="s">
        <v>40</v>
      </c>
      <c r="K5" s="4" t="s">
        <v>208</v>
      </c>
      <c r="L5" s="4" t="s">
        <v>212</v>
      </c>
      <c r="M5" s="4" t="s">
        <v>243</v>
      </c>
      <c r="N5" s="4" t="s">
        <v>244</v>
      </c>
      <c r="O5" s="4" t="s">
        <v>245</v>
      </c>
      <c r="P5" s="4" t="s">
        <v>40</v>
      </c>
      <c r="Q5" s="4" t="s">
        <v>208</v>
      </c>
      <c r="R5" s="4" t="s">
        <v>215</v>
      </c>
      <c r="S5" s="4" t="s">
        <v>246</v>
      </c>
      <c r="T5" s="4" t="s">
        <v>210</v>
      </c>
    </row>
    <row r="6" spans="1:20" ht="16.5" customHeight="1">
      <c r="A6" s="3" t="s">
        <v>44</v>
      </c>
      <c r="B6" s="4" t="s">
        <v>247</v>
      </c>
      <c r="C6" s="4" t="s">
        <v>248</v>
      </c>
      <c r="D6" s="4" t="s">
        <v>249</v>
      </c>
      <c r="E6" s="4" t="s">
        <v>17</v>
      </c>
      <c r="F6" s="4" t="s">
        <v>226</v>
      </c>
      <c r="G6" s="4" t="s">
        <v>250</v>
      </c>
      <c r="H6" s="4" t="s">
        <v>210</v>
      </c>
      <c r="I6" s="4" t="s">
        <v>251</v>
      </c>
      <c r="J6" s="4" t="s">
        <v>17</v>
      </c>
      <c r="K6" s="4" t="s">
        <v>226</v>
      </c>
      <c r="L6" s="4" t="s">
        <v>212</v>
      </c>
      <c r="M6" s="4" t="s">
        <v>252</v>
      </c>
      <c r="N6" s="4" t="s">
        <v>210</v>
      </c>
      <c r="O6" s="4" t="s">
        <v>253</v>
      </c>
      <c r="P6" s="4" t="s">
        <v>17</v>
      </c>
      <c r="Q6" s="4" t="s">
        <v>226</v>
      </c>
      <c r="R6" s="4" t="s">
        <v>227</v>
      </c>
      <c r="S6" s="4" t="s">
        <v>254</v>
      </c>
      <c r="T6" s="4" t="s">
        <v>255</v>
      </c>
    </row>
    <row r="7" spans="1:20" ht="16.5" customHeight="1">
      <c r="A7" s="3" t="s">
        <v>51</v>
      </c>
      <c r="B7" s="4" t="s">
        <v>256</v>
      </c>
      <c r="C7" s="4" t="s">
        <v>257</v>
      </c>
      <c r="D7" s="4" t="s">
        <v>258</v>
      </c>
      <c r="E7" s="4" t="s">
        <v>40</v>
      </c>
      <c r="F7" s="4" t="s">
        <v>208</v>
      </c>
      <c r="G7" s="4" t="s">
        <v>259</v>
      </c>
      <c r="H7" s="4" t="s">
        <v>210</v>
      </c>
      <c r="I7" s="4" t="s">
        <v>260</v>
      </c>
      <c r="J7" s="4" t="s">
        <v>40</v>
      </c>
      <c r="K7" s="4" t="s">
        <v>226</v>
      </c>
      <c r="L7" s="4" t="s">
        <v>212</v>
      </c>
      <c r="M7" s="4" t="s">
        <v>261</v>
      </c>
      <c r="N7" s="4" t="s">
        <v>210</v>
      </c>
      <c r="O7" s="4" t="s">
        <v>262</v>
      </c>
      <c r="P7" s="4" t="s">
        <v>40</v>
      </c>
      <c r="Q7" s="4" t="s">
        <v>208</v>
      </c>
      <c r="R7" s="4" t="s">
        <v>215</v>
      </c>
      <c r="S7" s="4" t="s">
        <v>263</v>
      </c>
      <c r="T7" s="4" t="s">
        <v>264</v>
      </c>
    </row>
    <row r="8" spans="1:20" ht="16.5" customHeight="1">
      <c r="A8" s="3" t="s">
        <v>57</v>
      </c>
      <c r="B8" s="4" t="s">
        <v>265</v>
      </c>
      <c r="C8" s="4" t="s">
        <v>266</v>
      </c>
      <c r="D8" s="4" t="s">
        <v>267</v>
      </c>
      <c r="E8" s="4" t="s">
        <v>40</v>
      </c>
      <c r="F8" s="4" t="s">
        <v>208</v>
      </c>
      <c r="G8" s="4" t="s">
        <v>268</v>
      </c>
      <c r="H8" s="4" t="s">
        <v>210</v>
      </c>
      <c r="I8" s="4" t="s">
        <v>269</v>
      </c>
      <c r="J8" s="3"/>
      <c r="K8" s="4" t="s">
        <v>270</v>
      </c>
      <c r="L8" s="4" t="s">
        <v>212</v>
      </c>
      <c r="M8" s="4" t="s">
        <v>271</v>
      </c>
      <c r="N8" s="4" t="s">
        <v>272</v>
      </c>
      <c r="O8" s="4" t="s">
        <v>273</v>
      </c>
      <c r="P8" s="4" t="s">
        <v>40</v>
      </c>
      <c r="Q8" s="4" t="s">
        <v>226</v>
      </c>
      <c r="R8" s="4" t="s">
        <v>227</v>
      </c>
      <c r="S8" s="4" t="s">
        <v>274</v>
      </c>
      <c r="T8" s="4" t="s">
        <v>275</v>
      </c>
    </row>
    <row r="9" spans="1:20" ht="16.5" customHeight="1">
      <c r="A9" s="3" t="s">
        <v>62</v>
      </c>
      <c r="B9" s="4" t="s">
        <v>276</v>
      </c>
      <c r="C9" s="4" t="s">
        <v>277</v>
      </c>
      <c r="D9" s="4" t="s">
        <v>278</v>
      </c>
      <c r="E9" s="4" t="s">
        <v>65</v>
      </c>
      <c r="F9" s="4" t="s">
        <v>208</v>
      </c>
      <c r="G9" s="4" t="s">
        <v>279</v>
      </c>
      <c r="H9" s="4" t="s">
        <v>210</v>
      </c>
      <c r="I9" s="4" t="s">
        <v>280</v>
      </c>
      <c r="J9" s="4" t="s">
        <v>65</v>
      </c>
      <c r="K9" s="4" t="s">
        <v>208</v>
      </c>
      <c r="L9" s="4" t="s">
        <v>212</v>
      </c>
      <c r="M9" s="4" t="s">
        <v>281</v>
      </c>
      <c r="N9" s="4" t="s">
        <v>282</v>
      </c>
      <c r="O9" s="4" t="s">
        <v>283</v>
      </c>
      <c r="P9" s="4" t="s">
        <v>65</v>
      </c>
      <c r="Q9" s="4" t="s">
        <v>208</v>
      </c>
      <c r="R9" s="4" t="s">
        <v>227</v>
      </c>
      <c r="S9" s="4" t="s">
        <v>284</v>
      </c>
      <c r="T9" s="4" t="s">
        <v>210</v>
      </c>
    </row>
    <row r="10" spans="1:20" ht="16.5" customHeight="1">
      <c r="A10" s="3" t="s">
        <v>71</v>
      </c>
      <c r="B10" s="4" t="s">
        <v>285</v>
      </c>
      <c r="C10" s="4" t="s">
        <v>286</v>
      </c>
      <c r="D10" s="4" t="s">
        <v>287</v>
      </c>
      <c r="E10" s="4" t="s">
        <v>17</v>
      </c>
      <c r="F10" s="4" t="s">
        <v>208</v>
      </c>
      <c r="G10" s="4" t="s">
        <v>288</v>
      </c>
      <c r="H10" s="4" t="s">
        <v>210</v>
      </c>
      <c r="I10" s="4" t="s">
        <v>289</v>
      </c>
      <c r="J10" s="4" t="s">
        <v>17</v>
      </c>
      <c r="K10" s="4" t="s">
        <v>208</v>
      </c>
      <c r="L10" s="4" t="s">
        <v>212</v>
      </c>
      <c r="M10" s="4" t="s">
        <v>290</v>
      </c>
      <c r="N10" s="4" t="s">
        <v>210</v>
      </c>
      <c r="O10" s="4" t="s">
        <v>291</v>
      </c>
      <c r="P10" s="4" t="s">
        <v>17</v>
      </c>
      <c r="Q10" s="4" t="s">
        <v>226</v>
      </c>
      <c r="R10" s="4" t="s">
        <v>215</v>
      </c>
      <c r="S10" s="4" t="s">
        <v>292</v>
      </c>
      <c r="T10" s="4" t="s">
        <v>293</v>
      </c>
    </row>
    <row r="11" spans="1:20" ht="16.5" customHeight="1">
      <c r="A11" s="3" t="s">
        <v>76</v>
      </c>
      <c r="B11" s="4" t="s">
        <v>294</v>
      </c>
      <c r="C11" s="4" t="s">
        <v>295</v>
      </c>
      <c r="D11" s="4" t="s">
        <v>296</v>
      </c>
      <c r="E11" s="4" t="s">
        <v>17</v>
      </c>
      <c r="F11" s="4" t="s">
        <v>208</v>
      </c>
      <c r="G11" s="4" t="s">
        <v>297</v>
      </c>
      <c r="H11" s="4" t="s">
        <v>210</v>
      </c>
      <c r="I11" s="4" t="s">
        <v>298</v>
      </c>
      <c r="J11" s="3"/>
      <c r="K11" s="4" t="s">
        <v>299</v>
      </c>
      <c r="L11" s="4" t="s">
        <v>212</v>
      </c>
      <c r="M11" s="4" t="s">
        <v>300</v>
      </c>
      <c r="N11" s="4" t="s">
        <v>272</v>
      </c>
      <c r="O11" s="4" t="s">
        <v>301</v>
      </c>
      <c r="P11" s="3"/>
      <c r="Q11" s="4" t="s">
        <v>270</v>
      </c>
      <c r="R11" s="4" t="s">
        <v>227</v>
      </c>
      <c r="S11" s="4" t="s">
        <v>302</v>
      </c>
      <c r="T11" s="4" t="s">
        <v>303</v>
      </c>
    </row>
    <row r="12" spans="1:20" ht="16.5" customHeight="1">
      <c r="A12" s="3" t="s">
        <v>82</v>
      </c>
      <c r="B12" s="4" t="s">
        <v>304</v>
      </c>
      <c r="C12" s="4" t="s">
        <v>305</v>
      </c>
      <c r="D12" s="4" t="s">
        <v>306</v>
      </c>
      <c r="E12" s="4" t="s">
        <v>65</v>
      </c>
      <c r="F12" s="4" t="s">
        <v>208</v>
      </c>
      <c r="G12" s="4" t="s">
        <v>307</v>
      </c>
      <c r="H12" s="4" t="s">
        <v>210</v>
      </c>
      <c r="I12" s="4" t="s">
        <v>308</v>
      </c>
      <c r="J12" s="4" t="s">
        <v>65</v>
      </c>
      <c r="K12" s="4" t="s">
        <v>208</v>
      </c>
      <c r="L12" s="4" t="s">
        <v>212</v>
      </c>
      <c r="M12" s="4" t="s">
        <v>309</v>
      </c>
      <c r="N12" s="4" t="s">
        <v>210</v>
      </c>
      <c r="O12" s="4" t="s">
        <v>310</v>
      </c>
      <c r="P12" s="4" t="s">
        <v>65</v>
      </c>
      <c r="Q12" s="4" t="s">
        <v>208</v>
      </c>
      <c r="R12" s="4" t="s">
        <v>227</v>
      </c>
      <c r="S12" s="4" t="s">
        <v>311</v>
      </c>
      <c r="T12" s="4" t="s">
        <v>312</v>
      </c>
    </row>
    <row r="13" spans="1:20" ht="16.5" customHeight="1">
      <c r="A13" s="3" t="s">
        <v>87</v>
      </c>
      <c r="B13" s="4" t="s">
        <v>313</v>
      </c>
      <c r="C13" s="4" t="s">
        <v>314</v>
      </c>
      <c r="D13" s="4" t="s">
        <v>315</v>
      </c>
      <c r="E13" s="4" t="s">
        <v>89</v>
      </c>
      <c r="F13" s="4" t="s">
        <v>208</v>
      </c>
      <c r="G13" s="4" t="s">
        <v>316</v>
      </c>
      <c r="H13" s="4" t="s">
        <v>210</v>
      </c>
      <c r="I13" s="4" t="s">
        <v>317</v>
      </c>
      <c r="J13" s="3"/>
      <c r="K13" s="4" t="s">
        <v>299</v>
      </c>
      <c r="L13" s="4" t="s">
        <v>227</v>
      </c>
      <c r="M13" s="4" t="s">
        <v>318</v>
      </c>
      <c r="N13" s="4" t="s">
        <v>272</v>
      </c>
      <c r="O13" s="4" t="s">
        <v>319</v>
      </c>
      <c r="P13" s="4" t="s">
        <v>89</v>
      </c>
      <c r="Q13" s="4" t="s">
        <v>208</v>
      </c>
      <c r="R13" s="4" t="s">
        <v>215</v>
      </c>
      <c r="S13" s="4" t="s">
        <v>320</v>
      </c>
      <c r="T13" s="4" t="s">
        <v>235</v>
      </c>
    </row>
    <row r="14" spans="1:20" ht="16.5" customHeight="1">
      <c r="A14" s="3" t="s">
        <v>95</v>
      </c>
      <c r="B14" s="4" t="s">
        <v>321</v>
      </c>
      <c r="C14" s="4" t="s">
        <v>322</v>
      </c>
      <c r="D14" s="4" t="s">
        <v>323</v>
      </c>
      <c r="E14" s="4" t="s">
        <v>40</v>
      </c>
      <c r="F14" s="4" t="s">
        <v>208</v>
      </c>
      <c r="G14" s="4" t="s">
        <v>324</v>
      </c>
      <c r="H14" s="4" t="s">
        <v>210</v>
      </c>
      <c r="I14" s="4" t="s">
        <v>325</v>
      </c>
      <c r="J14" s="4" t="s">
        <v>40</v>
      </c>
      <c r="K14" s="4" t="s">
        <v>208</v>
      </c>
      <c r="L14" s="4" t="s">
        <v>212</v>
      </c>
      <c r="M14" s="4" t="s">
        <v>326</v>
      </c>
      <c r="N14" s="4" t="s">
        <v>327</v>
      </c>
      <c r="O14" s="4" t="s">
        <v>328</v>
      </c>
      <c r="P14" s="3"/>
      <c r="Q14" s="4" t="s">
        <v>270</v>
      </c>
      <c r="R14" s="4" t="s">
        <v>215</v>
      </c>
      <c r="S14" s="4" t="s">
        <v>329</v>
      </c>
      <c r="T14" s="4" t="s">
        <v>272</v>
      </c>
    </row>
    <row r="15" spans="1:20" ht="16.5" customHeight="1">
      <c r="A15" s="3" t="s">
        <v>100</v>
      </c>
      <c r="B15" s="4" t="s">
        <v>330</v>
      </c>
      <c r="C15" s="4" t="s">
        <v>331</v>
      </c>
      <c r="D15" s="4" t="s">
        <v>332</v>
      </c>
      <c r="E15" s="4" t="s">
        <v>40</v>
      </c>
      <c r="F15" s="4" t="s">
        <v>208</v>
      </c>
      <c r="G15" s="4" t="s">
        <v>333</v>
      </c>
      <c r="H15" s="4" t="s">
        <v>210</v>
      </c>
      <c r="I15" s="4" t="s">
        <v>334</v>
      </c>
      <c r="J15" s="3"/>
      <c r="K15" s="4" t="s">
        <v>299</v>
      </c>
      <c r="L15" s="4" t="s">
        <v>227</v>
      </c>
      <c r="M15" s="4" t="s">
        <v>335</v>
      </c>
      <c r="N15" s="4" t="s">
        <v>336</v>
      </c>
      <c r="O15" s="4" t="s">
        <v>337</v>
      </c>
      <c r="P15" s="4" t="s">
        <v>40</v>
      </c>
      <c r="Q15" s="4" t="s">
        <v>208</v>
      </c>
      <c r="R15" s="4" t="s">
        <v>215</v>
      </c>
      <c r="S15" s="4" t="s">
        <v>338</v>
      </c>
      <c r="T15" s="4" t="s">
        <v>210</v>
      </c>
    </row>
    <row r="16" spans="1:20" ht="16.5" customHeight="1">
      <c r="A16" s="3" t="s">
        <v>105</v>
      </c>
      <c r="B16" s="4" t="s">
        <v>339</v>
      </c>
      <c r="C16" s="4" t="s">
        <v>340</v>
      </c>
      <c r="D16" s="4" t="s">
        <v>341</v>
      </c>
      <c r="E16" s="4" t="s">
        <v>65</v>
      </c>
      <c r="F16" s="4" t="s">
        <v>208</v>
      </c>
      <c r="G16" s="4" t="s">
        <v>342</v>
      </c>
      <c r="H16" s="4" t="s">
        <v>210</v>
      </c>
      <c r="I16" s="4" t="s">
        <v>343</v>
      </c>
      <c r="J16" s="4" t="s">
        <v>65</v>
      </c>
      <c r="K16" s="4" t="s">
        <v>226</v>
      </c>
      <c r="L16" s="4" t="s">
        <v>344</v>
      </c>
      <c r="M16" s="4" t="s">
        <v>345</v>
      </c>
      <c r="N16" s="3"/>
      <c r="O16" s="4" t="s">
        <v>346</v>
      </c>
      <c r="P16" s="4" t="s">
        <v>65</v>
      </c>
      <c r="Q16" s="4" t="s">
        <v>208</v>
      </c>
      <c r="R16" s="4" t="s">
        <v>227</v>
      </c>
      <c r="S16" s="4" t="s">
        <v>347</v>
      </c>
      <c r="T16" s="4" t="s">
        <v>235</v>
      </c>
    </row>
    <row r="17" spans="1:20" ht="16.5" customHeight="1">
      <c r="A17" s="3" t="s">
        <v>109</v>
      </c>
      <c r="B17" s="4" t="s">
        <v>348</v>
      </c>
      <c r="C17" s="4" t="s">
        <v>349</v>
      </c>
      <c r="D17" s="4" t="s">
        <v>350</v>
      </c>
      <c r="E17" s="4" t="s">
        <v>17</v>
      </c>
      <c r="F17" s="4" t="s">
        <v>208</v>
      </c>
      <c r="G17" s="4" t="s">
        <v>351</v>
      </c>
      <c r="H17" s="4" t="s">
        <v>210</v>
      </c>
      <c r="I17" s="4" t="s">
        <v>352</v>
      </c>
      <c r="J17" s="4" t="s">
        <v>17</v>
      </c>
      <c r="K17" s="4" t="s">
        <v>208</v>
      </c>
      <c r="L17" s="4" t="s">
        <v>212</v>
      </c>
      <c r="M17" s="4" t="s">
        <v>353</v>
      </c>
      <c r="N17" s="4" t="s">
        <v>210</v>
      </c>
      <c r="O17" s="4" t="s">
        <v>354</v>
      </c>
      <c r="P17" s="4" t="s">
        <v>17</v>
      </c>
      <c r="Q17" s="4" t="s">
        <v>208</v>
      </c>
      <c r="R17" s="4" t="s">
        <v>215</v>
      </c>
      <c r="S17" s="4" t="s">
        <v>355</v>
      </c>
      <c r="T17" s="4" t="s">
        <v>356</v>
      </c>
    </row>
    <row r="18" spans="1:20" ht="16.5" customHeight="1">
      <c r="A18" s="4" t="s">
        <v>116</v>
      </c>
      <c r="B18" s="4" t="s">
        <v>357</v>
      </c>
      <c r="C18" s="4" t="s">
        <v>358</v>
      </c>
      <c r="D18" s="4" t="s">
        <v>359</v>
      </c>
      <c r="E18" s="4" t="s">
        <v>65</v>
      </c>
      <c r="F18" s="4" t="s">
        <v>208</v>
      </c>
      <c r="G18" s="4" t="s">
        <v>360</v>
      </c>
      <c r="H18" s="4" t="s">
        <v>210</v>
      </c>
      <c r="I18" s="4" t="s">
        <v>361</v>
      </c>
      <c r="J18" s="4" t="s">
        <v>65</v>
      </c>
      <c r="K18" s="4" t="s">
        <v>208</v>
      </c>
      <c r="L18" s="4" t="s">
        <v>227</v>
      </c>
      <c r="M18" s="4" t="s">
        <v>362</v>
      </c>
      <c r="N18" s="4" t="s">
        <v>210</v>
      </c>
      <c r="O18" s="4" t="s">
        <v>363</v>
      </c>
      <c r="P18" s="4" t="s">
        <v>65</v>
      </c>
      <c r="Q18" s="4" t="s">
        <v>226</v>
      </c>
      <c r="R18" s="4" t="s">
        <v>215</v>
      </c>
      <c r="S18" s="4" t="s">
        <v>364</v>
      </c>
      <c r="T18" s="4" t="s">
        <v>235</v>
      </c>
    </row>
    <row r="19" spans="1:20" ht="16.5" customHeight="1">
      <c r="A19" s="3" t="s">
        <v>117</v>
      </c>
      <c r="B19" s="3" t="s">
        <v>365</v>
      </c>
      <c r="C19" s="3" t="s">
        <v>366</v>
      </c>
      <c r="D19" s="3" t="s">
        <v>367</v>
      </c>
      <c r="E19" s="4" t="s">
        <v>89</v>
      </c>
      <c r="F19" s="3" t="s">
        <v>208</v>
      </c>
      <c r="G19" s="9" t="s">
        <v>368</v>
      </c>
      <c r="H19" s="3" t="s">
        <v>210</v>
      </c>
      <c r="I19" s="3" t="s">
        <v>369</v>
      </c>
      <c r="J19" s="4" t="s">
        <v>89</v>
      </c>
      <c r="K19" s="3" t="s">
        <v>226</v>
      </c>
      <c r="L19" s="3" t="s">
        <v>212</v>
      </c>
      <c r="M19" s="3" t="s">
        <v>370</v>
      </c>
      <c r="N19" s="3" t="s">
        <v>210</v>
      </c>
      <c r="O19" s="4" t="s">
        <v>371</v>
      </c>
      <c r="P19" s="4" t="s">
        <v>89</v>
      </c>
      <c r="Q19" s="3" t="s">
        <v>226</v>
      </c>
      <c r="R19" s="4" t="s">
        <v>227</v>
      </c>
      <c r="S19" s="4" t="s">
        <v>372</v>
      </c>
      <c r="T19" s="4" t="s">
        <v>224</v>
      </c>
    </row>
    <row r="20" spans="1:20" ht="16.5" customHeight="1">
      <c r="A20" s="3" t="s">
        <v>122</v>
      </c>
      <c r="B20" s="4" t="s">
        <v>373</v>
      </c>
      <c r="C20" s="4" t="s">
        <v>374</v>
      </c>
      <c r="D20" s="4" t="s">
        <v>375</v>
      </c>
      <c r="E20" s="4" t="s">
        <v>65</v>
      </c>
      <c r="F20" s="4" t="s">
        <v>208</v>
      </c>
      <c r="G20" s="4" t="s">
        <v>376</v>
      </c>
      <c r="H20" s="4" t="s">
        <v>210</v>
      </c>
      <c r="I20" s="4" t="s">
        <v>377</v>
      </c>
      <c r="J20" s="3"/>
      <c r="K20" s="4" t="s">
        <v>378</v>
      </c>
      <c r="L20" s="4" t="s">
        <v>212</v>
      </c>
      <c r="M20" s="4" t="s">
        <v>379</v>
      </c>
      <c r="N20" s="4" t="s">
        <v>380</v>
      </c>
      <c r="O20" s="4" t="s">
        <v>381</v>
      </c>
      <c r="P20" s="4" t="s">
        <v>65</v>
      </c>
      <c r="Q20" s="4" t="s">
        <v>208</v>
      </c>
      <c r="R20" s="4" t="s">
        <v>215</v>
      </c>
      <c r="S20" s="4" t="s">
        <v>382</v>
      </c>
      <c r="T20" s="4" t="s">
        <v>210</v>
      </c>
    </row>
    <row r="21" spans="1:20" ht="16.5" customHeight="1">
      <c r="A21" s="3" t="s">
        <v>127</v>
      </c>
      <c r="B21" s="4" t="s">
        <v>383</v>
      </c>
      <c r="C21" s="4" t="s">
        <v>384</v>
      </c>
      <c r="D21" s="4" t="s">
        <v>385</v>
      </c>
      <c r="E21" s="4" t="s">
        <v>89</v>
      </c>
      <c r="F21" s="4" t="s">
        <v>208</v>
      </c>
      <c r="G21" s="4" t="s">
        <v>386</v>
      </c>
      <c r="H21" s="4" t="s">
        <v>210</v>
      </c>
      <c r="I21" s="4" t="s">
        <v>387</v>
      </c>
      <c r="J21" s="3"/>
      <c r="K21" s="4" t="s">
        <v>378</v>
      </c>
      <c r="L21" s="4" t="s">
        <v>212</v>
      </c>
      <c r="M21" s="4" t="s">
        <v>388</v>
      </c>
      <c r="N21" s="4" t="s">
        <v>389</v>
      </c>
      <c r="O21" s="4" t="s">
        <v>390</v>
      </c>
      <c r="P21" s="4" t="s">
        <v>89</v>
      </c>
      <c r="Q21" s="4" t="s">
        <v>208</v>
      </c>
      <c r="R21" s="4" t="s">
        <v>227</v>
      </c>
      <c r="S21" s="4" t="s">
        <v>391</v>
      </c>
      <c r="T21" s="4" t="s">
        <v>210</v>
      </c>
    </row>
    <row r="22" spans="1:20" ht="16.5" customHeight="1">
      <c r="A22" s="3" t="s">
        <v>133</v>
      </c>
      <c r="B22" s="4" t="s">
        <v>392</v>
      </c>
      <c r="C22" s="4" t="s">
        <v>393</v>
      </c>
      <c r="D22" s="4" t="s">
        <v>394</v>
      </c>
      <c r="E22" s="4" t="s">
        <v>89</v>
      </c>
      <c r="F22" s="4" t="s">
        <v>208</v>
      </c>
      <c r="G22" s="4" t="s">
        <v>395</v>
      </c>
      <c r="H22" s="4" t="s">
        <v>396</v>
      </c>
      <c r="I22" s="4" t="s">
        <v>397</v>
      </c>
      <c r="J22" s="3"/>
      <c r="K22" s="4" t="s">
        <v>378</v>
      </c>
      <c r="L22" s="4" t="s">
        <v>227</v>
      </c>
      <c r="M22" s="4" t="s">
        <v>398</v>
      </c>
      <c r="N22" s="4" t="s">
        <v>272</v>
      </c>
      <c r="O22" s="4" t="s">
        <v>399</v>
      </c>
      <c r="P22" s="4" t="s">
        <v>89</v>
      </c>
      <c r="Q22" s="4" t="s">
        <v>208</v>
      </c>
      <c r="R22" s="4" t="s">
        <v>227</v>
      </c>
      <c r="S22" s="4" t="s">
        <v>400</v>
      </c>
      <c r="T22" s="4" t="s">
        <v>210</v>
      </c>
    </row>
    <row r="23" spans="1:20" ht="16.5" customHeight="1">
      <c r="A23" s="3" t="s">
        <v>139</v>
      </c>
      <c r="B23" s="4" t="s">
        <v>401</v>
      </c>
      <c r="C23" s="4" t="s">
        <v>402</v>
      </c>
      <c r="D23" s="4" t="s">
        <v>403</v>
      </c>
      <c r="E23" s="4" t="s">
        <v>40</v>
      </c>
      <c r="F23" s="4" t="s">
        <v>208</v>
      </c>
      <c r="G23" s="4" t="s">
        <v>404</v>
      </c>
      <c r="H23" s="4" t="s">
        <v>210</v>
      </c>
      <c r="I23" s="4" t="s">
        <v>405</v>
      </c>
      <c r="J23" s="3"/>
      <c r="K23" s="4" t="s">
        <v>299</v>
      </c>
      <c r="L23" s="4" t="s">
        <v>212</v>
      </c>
      <c r="M23" s="4" t="s">
        <v>406</v>
      </c>
      <c r="N23" s="4" t="s">
        <v>303</v>
      </c>
      <c r="O23" s="4" t="s">
        <v>407</v>
      </c>
      <c r="P23" s="3"/>
      <c r="Q23" s="4" t="s">
        <v>299</v>
      </c>
      <c r="R23" s="4" t="s">
        <v>215</v>
      </c>
      <c r="S23" s="4" t="s">
        <v>408</v>
      </c>
      <c r="T23" s="4" t="s">
        <v>272</v>
      </c>
    </row>
    <row r="24" spans="1:20" ht="16.5" customHeight="1">
      <c r="A24" s="3" t="s">
        <v>144</v>
      </c>
      <c r="B24" s="4" t="s">
        <v>409</v>
      </c>
      <c r="C24" s="4" t="s">
        <v>410</v>
      </c>
      <c r="D24" s="4" t="s">
        <v>411</v>
      </c>
      <c r="E24" s="4" t="s">
        <v>65</v>
      </c>
      <c r="F24" s="4" t="s">
        <v>208</v>
      </c>
      <c r="G24" s="4" t="s">
        <v>412</v>
      </c>
      <c r="H24" s="4" t="s">
        <v>210</v>
      </c>
      <c r="I24" s="4" t="s">
        <v>413</v>
      </c>
      <c r="J24" s="4" t="s">
        <v>65</v>
      </c>
      <c r="K24" s="4" t="s">
        <v>208</v>
      </c>
      <c r="L24" s="4" t="s">
        <v>227</v>
      </c>
      <c r="M24" s="4" t="s">
        <v>414</v>
      </c>
      <c r="N24" s="4" t="s">
        <v>415</v>
      </c>
      <c r="O24" s="4" t="s">
        <v>416</v>
      </c>
      <c r="P24" s="4" t="s">
        <v>65</v>
      </c>
      <c r="Q24" s="4" t="s">
        <v>208</v>
      </c>
      <c r="R24" s="4" t="s">
        <v>227</v>
      </c>
      <c r="S24" s="4" t="s">
        <v>417</v>
      </c>
      <c r="T24" s="4" t="s">
        <v>210</v>
      </c>
    </row>
    <row r="25" spans="1:20" ht="16.5" customHeight="1">
      <c r="A25" s="3" t="s">
        <v>148</v>
      </c>
      <c r="B25" s="4" t="s">
        <v>418</v>
      </c>
      <c r="C25" s="4" t="s">
        <v>419</v>
      </c>
      <c r="D25" s="4" t="s">
        <v>420</v>
      </c>
      <c r="E25" s="4" t="s">
        <v>65</v>
      </c>
      <c r="F25" s="4" t="s">
        <v>208</v>
      </c>
      <c r="G25" s="4" t="s">
        <v>421</v>
      </c>
      <c r="H25" s="4" t="s">
        <v>210</v>
      </c>
      <c r="I25" s="4" t="s">
        <v>422</v>
      </c>
      <c r="J25" s="4" t="s">
        <v>65</v>
      </c>
      <c r="K25" s="4" t="s">
        <v>208</v>
      </c>
      <c r="L25" s="4" t="s">
        <v>212</v>
      </c>
      <c r="M25" s="4" t="s">
        <v>423</v>
      </c>
      <c r="N25" s="4" t="s">
        <v>424</v>
      </c>
      <c r="O25" s="4" t="s">
        <v>425</v>
      </c>
      <c r="P25" s="4" t="s">
        <v>65</v>
      </c>
      <c r="Q25" s="4" t="s">
        <v>208</v>
      </c>
      <c r="R25" s="4" t="s">
        <v>227</v>
      </c>
      <c r="S25" s="4" t="s">
        <v>426</v>
      </c>
      <c r="T25" s="4" t="s">
        <v>210</v>
      </c>
    </row>
    <row r="26" spans="1:20" ht="16.5" customHeight="1">
      <c r="A26" s="3" t="s">
        <v>153</v>
      </c>
      <c r="B26" s="4" t="s">
        <v>427</v>
      </c>
      <c r="C26" s="4" t="s">
        <v>428</v>
      </c>
      <c r="D26" s="4" t="s">
        <v>429</v>
      </c>
      <c r="E26" s="4" t="s">
        <v>89</v>
      </c>
      <c r="F26" s="4" t="s">
        <v>208</v>
      </c>
      <c r="G26" s="4" t="s">
        <v>430</v>
      </c>
      <c r="H26" s="4" t="s">
        <v>210</v>
      </c>
      <c r="I26" s="4" t="s">
        <v>431</v>
      </c>
      <c r="J26" s="4" t="s">
        <v>89</v>
      </c>
      <c r="K26" s="4" t="s">
        <v>208</v>
      </c>
      <c r="L26" s="4" t="s">
        <v>212</v>
      </c>
      <c r="M26" s="4" t="s">
        <v>432</v>
      </c>
      <c r="N26" s="4" t="s">
        <v>433</v>
      </c>
      <c r="O26" s="4" t="s">
        <v>434</v>
      </c>
      <c r="P26" s="4" t="s">
        <v>89</v>
      </c>
      <c r="Q26" s="4" t="s">
        <v>208</v>
      </c>
      <c r="R26" s="4" t="s">
        <v>227</v>
      </c>
      <c r="S26" s="4" t="s">
        <v>435</v>
      </c>
      <c r="T26" s="4" t="s">
        <v>210</v>
      </c>
    </row>
    <row r="27" spans="1:20" ht="16.5" customHeight="1">
      <c r="A27" s="4" t="s">
        <v>157</v>
      </c>
      <c r="B27" s="4" t="s">
        <v>436</v>
      </c>
      <c r="C27" s="4" t="s">
        <v>437</v>
      </c>
      <c r="D27" s="4" t="s">
        <v>438</v>
      </c>
      <c r="E27" s="4" t="s">
        <v>65</v>
      </c>
      <c r="F27" s="4" t="s">
        <v>208</v>
      </c>
      <c r="G27" s="4" t="s">
        <v>439</v>
      </c>
      <c r="H27" s="4" t="s">
        <v>210</v>
      </c>
      <c r="I27" s="4" t="s">
        <v>440</v>
      </c>
      <c r="J27" s="4" t="s">
        <v>65</v>
      </c>
      <c r="K27" s="4" t="s">
        <v>208</v>
      </c>
      <c r="L27" s="4" t="s">
        <v>212</v>
      </c>
      <c r="M27" s="4" t="s">
        <v>441</v>
      </c>
      <c r="N27" s="4" t="s">
        <v>210</v>
      </c>
      <c r="O27" s="4" t="s">
        <v>442</v>
      </c>
      <c r="P27" s="4" t="s">
        <v>65</v>
      </c>
      <c r="Q27" s="4" t="s">
        <v>208</v>
      </c>
      <c r="R27" s="4" t="s">
        <v>227</v>
      </c>
      <c r="S27" s="4" t="s">
        <v>443</v>
      </c>
      <c r="T27" s="4" t="s">
        <v>444</v>
      </c>
    </row>
    <row r="28" spans="1:20" ht="16.5" customHeight="1">
      <c r="A28" s="3" t="s">
        <v>158</v>
      </c>
      <c r="B28" s="4" t="s">
        <v>445</v>
      </c>
      <c r="C28" s="4" t="s">
        <v>446</v>
      </c>
      <c r="D28" s="4" t="s">
        <v>447</v>
      </c>
      <c r="E28" s="4" t="s">
        <v>40</v>
      </c>
      <c r="F28" s="4" t="s">
        <v>208</v>
      </c>
      <c r="G28" s="4" t="s">
        <v>448</v>
      </c>
      <c r="H28" s="4" t="s">
        <v>449</v>
      </c>
      <c r="I28" s="4" t="s">
        <v>450</v>
      </c>
      <c r="J28" s="4" t="s">
        <v>40</v>
      </c>
      <c r="K28" s="4" t="s">
        <v>208</v>
      </c>
      <c r="L28" s="4" t="s">
        <v>212</v>
      </c>
      <c r="M28" s="4" t="s">
        <v>451</v>
      </c>
      <c r="N28" s="4" t="s">
        <v>210</v>
      </c>
      <c r="O28" s="4" t="s">
        <v>452</v>
      </c>
      <c r="P28" s="4" t="s">
        <v>40</v>
      </c>
      <c r="Q28" s="4" t="s">
        <v>208</v>
      </c>
      <c r="R28" s="4" t="s">
        <v>227</v>
      </c>
      <c r="S28" s="4" t="s">
        <v>453</v>
      </c>
      <c r="T28" s="4" t="s">
        <v>210</v>
      </c>
    </row>
    <row r="29" spans="1:20" ht="16.5" customHeight="1">
      <c r="A29" s="3" t="s">
        <v>163</v>
      </c>
      <c r="B29" s="4" t="s">
        <v>454</v>
      </c>
      <c r="C29" s="4" t="s">
        <v>455</v>
      </c>
      <c r="D29" s="4" t="s">
        <v>456</v>
      </c>
      <c r="E29" s="4" t="s">
        <v>65</v>
      </c>
      <c r="F29" s="4" t="s">
        <v>208</v>
      </c>
      <c r="G29" s="4" t="s">
        <v>457</v>
      </c>
      <c r="H29" s="4" t="s">
        <v>210</v>
      </c>
      <c r="I29" s="4" t="s">
        <v>458</v>
      </c>
      <c r="J29" s="4" t="s">
        <v>65</v>
      </c>
      <c r="K29" s="4" t="s">
        <v>208</v>
      </c>
      <c r="L29" s="4" t="s">
        <v>212</v>
      </c>
      <c r="M29" s="4" t="s">
        <v>459</v>
      </c>
      <c r="N29" s="4" t="s">
        <v>235</v>
      </c>
      <c r="O29" s="4" t="s">
        <v>460</v>
      </c>
      <c r="P29" s="4" t="s">
        <v>65</v>
      </c>
      <c r="Q29" s="4" t="s">
        <v>208</v>
      </c>
      <c r="R29" s="4" t="s">
        <v>227</v>
      </c>
      <c r="S29" s="4" t="s">
        <v>461</v>
      </c>
      <c r="T29" s="4" t="s">
        <v>210</v>
      </c>
    </row>
    <row r="30" spans="1:20" ht="16.5" customHeight="1">
      <c r="A30" s="3" t="s">
        <v>167</v>
      </c>
      <c r="B30" s="4" t="s">
        <v>462</v>
      </c>
      <c r="C30" s="4" t="s">
        <v>463</v>
      </c>
      <c r="D30" s="4" t="s">
        <v>464</v>
      </c>
      <c r="E30" s="4" t="s">
        <v>89</v>
      </c>
      <c r="F30" s="4" t="s">
        <v>208</v>
      </c>
      <c r="G30" s="4" t="s">
        <v>465</v>
      </c>
      <c r="H30" s="4" t="s">
        <v>210</v>
      </c>
      <c r="I30" s="4" t="s">
        <v>466</v>
      </c>
      <c r="J30" s="4" t="s">
        <v>89</v>
      </c>
      <c r="K30" s="4" t="s">
        <v>208</v>
      </c>
      <c r="L30" s="4" t="s">
        <v>467</v>
      </c>
      <c r="M30" s="4" t="s">
        <v>468</v>
      </c>
      <c r="N30" s="4" t="s">
        <v>210</v>
      </c>
      <c r="O30" s="4" t="s">
        <v>469</v>
      </c>
      <c r="P30" s="4" t="s">
        <v>89</v>
      </c>
      <c r="Q30" s="4" t="s">
        <v>208</v>
      </c>
      <c r="R30" s="4" t="s">
        <v>227</v>
      </c>
      <c r="S30" s="4" t="s">
        <v>470</v>
      </c>
      <c r="T30" s="4" t="s">
        <v>235</v>
      </c>
    </row>
    <row r="31" spans="1:20" ht="16.5" customHeight="1">
      <c r="A31" s="3" t="s">
        <v>173</v>
      </c>
      <c r="B31" s="4" t="s">
        <v>471</v>
      </c>
      <c r="C31" s="4" t="s">
        <v>472</v>
      </c>
      <c r="D31" s="4" t="s">
        <v>473</v>
      </c>
      <c r="E31" s="4" t="s">
        <v>65</v>
      </c>
      <c r="F31" s="4" t="s">
        <v>208</v>
      </c>
      <c r="G31" s="4" t="s">
        <v>474</v>
      </c>
      <c r="H31" s="4" t="s">
        <v>210</v>
      </c>
      <c r="I31" s="4" t="s">
        <v>475</v>
      </c>
      <c r="J31" s="4" t="s">
        <v>65</v>
      </c>
      <c r="K31" s="4" t="s">
        <v>208</v>
      </c>
      <c r="L31" s="4" t="s">
        <v>212</v>
      </c>
      <c r="M31" s="4" t="s">
        <v>476</v>
      </c>
      <c r="N31" s="4" t="s">
        <v>477</v>
      </c>
      <c r="O31" s="4" t="s">
        <v>478</v>
      </c>
      <c r="P31" s="4" t="s">
        <v>65</v>
      </c>
      <c r="Q31" s="4" t="s">
        <v>208</v>
      </c>
      <c r="R31" s="4" t="s">
        <v>227</v>
      </c>
      <c r="S31" s="4" t="s">
        <v>479</v>
      </c>
      <c r="T31" s="4" t="s">
        <v>210</v>
      </c>
    </row>
    <row r="32" spans="1:20" ht="16.5" customHeight="1">
      <c r="A32" s="3" t="s">
        <v>177</v>
      </c>
      <c r="B32" s="4" t="s">
        <v>480</v>
      </c>
      <c r="C32" s="4" t="s">
        <v>481</v>
      </c>
      <c r="D32" s="4" t="s">
        <v>482</v>
      </c>
      <c r="E32" s="4" t="s">
        <v>65</v>
      </c>
      <c r="F32" s="4" t="s">
        <v>208</v>
      </c>
      <c r="G32" s="4" t="s">
        <v>483</v>
      </c>
      <c r="H32" s="4" t="s">
        <v>210</v>
      </c>
      <c r="I32" s="4" t="s">
        <v>484</v>
      </c>
      <c r="J32" s="3"/>
      <c r="K32" s="4" t="s">
        <v>299</v>
      </c>
      <c r="L32" s="4" t="s">
        <v>212</v>
      </c>
      <c r="M32" s="4" t="s">
        <v>485</v>
      </c>
      <c r="N32" s="4" t="s">
        <v>303</v>
      </c>
      <c r="O32" s="4" t="s">
        <v>486</v>
      </c>
      <c r="P32" s="3"/>
      <c r="Q32" s="4" t="s">
        <v>270</v>
      </c>
      <c r="R32" s="4" t="s">
        <v>215</v>
      </c>
      <c r="S32" s="4" t="s">
        <v>487</v>
      </c>
      <c r="T32" s="4" t="s">
        <v>272</v>
      </c>
    </row>
    <row r="33" spans="1:20" ht="16.5" customHeight="1">
      <c r="A33" s="3" t="s">
        <v>181</v>
      </c>
      <c r="B33" s="4" t="s">
        <v>488</v>
      </c>
      <c r="C33" s="4" t="s">
        <v>489</v>
      </c>
      <c r="D33" s="4" t="s">
        <v>490</v>
      </c>
      <c r="E33" s="4" t="s">
        <v>65</v>
      </c>
      <c r="F33" s="4" t="s">
        <v>208</v>
      </c>
      <c r="G33" s="4" t="s">
        <v>491</v>
      </c>
      <c r="H33" s="4" t="s">
        <v>210</v>
      </c>
      <c r="I33" s="4" t="s">
        <v>492</v>
      </c>
      <c r="J33" s="4" t="s">
        <v>65</v>
      </c>
      <c r="K33" s="4" t="s">
        <v>208</v>
      </c>
      <c r="L33" s="4" t="s">
        <v>212</v>
      </c>
      <c r="M33" s="4" t="s">
        <v>493</v>
      </c>
      <c r="N33" s="4" t="s">
        <v>494</v>
      </c>
      <c r="O33" s="4" t="s">
        <v>495</v>
      </c>
      <c r="P33" s="4" t="s">
        <v>65</v>
      </c>
      <c r="Q33" s="3" t="s">
        <v>226</v>
      </c>
      <c r="R33" s="4" t="s">
        <v>227</v>
      </c>
      <c r="S33" s="4" t="s">
        <v>496</v>
      </c>
      <c r="T33" s="4" t="s">
        <v>210</v>
      </c>
    </row>
  </sheetData>
  <phoneticPr fontId="7" type="noConversion"/>
  <conditionalFormatting sqref="A1:T33">
    <cfRule type="containsBlanks" dxfId="0" priority="1">
      <formula>LEN(TRIM(A1))=0</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pane xSplit="1" ySplit="1" topLeftCell="B2" activePane="bottomRight" state="frozen"/>
      <selection pane="topRight" activeCell="B1" sqref="B1"/>
      <selection pane="bottomLeft" activeCell="A2" sqref="A2"/>
      <selection pane="bottomRight" activeCell="I21" sqref="I21"/>
    </sheetView>
  </sheetViews>
  <sheetFormatPr defaultColWidth="14.42578125" defaultRowHeight="15" customHeight="1"/>
  <cols>
    <col min="1" max="1" width="15" customWidth="1"/>
    <col min="2" max="2" width="9.5703125" customWidth="1"/>
    <col min="3" max="3" width="7.42578125" customWidth="1"/>
    <col min="4" max="4" width="6.85546875" customWidth="1"/>
    <col min="5" max="5" width="7.42578125" customWidth="1"/>
    <col min="6" max="6" width="5.28515625" customWidth="1"/>
    <col min="7" max="8" width="7.42578125" customWidth="1"/>
    <col min="9" max="11" width="9.5703125" customWidth="1"/>
    <col min="12" max="12" width="4.5703125" customWidth="1"/>
    <col min="13" max="16" width="5.28515625" customWidth="1"/>
    <col min="17" max="19" width="12.28515625" customWidth="1"/>
  </cols>
  <sheetData>
    <row r="1" spans="1:19" ht="16.5" customHeight="1">
      <c r="A1" s="1" t="s">
        <v>0</v>
      </c>
      <c r="B1" s="2" t="s">
        <v>596</v>
      </c>
      <c r="C1" s="1" t="s">
        <v>597</v>
      </c>
      <c r="D1" s="1" t="s">
        <v>598</v>
      </c>
      <c r="E1" s="1" t="s">
        <v>599</v>
      </c>
      <c r="F1" s="1" t="s">
        <v>600</v>
      </c>
      <c r="G1" s="1" t="s">
        <v>601</v>
      </c>
      <c r="H1" s="1" t="s">
        <v>602</v>
      </c>
      <c r="I1" s="1" t="s">
        <v>603</v>
      </c>
      <c r="J1" s="1" t="s">
        <v>604</v>
      </c>
      <c r="K1" s="2" t="s">
        <v>605</v>
      </c>
      <c r="L1" s="16" t="s">
        <v>606</v>
      </c>
      <c r="M1" s="16" t="s">
        <v>598</v>
      </c>
      <c r="N1" s="16" t="s">
        <v>607</v>
      </c>
      <c r="O1" s="16" t="s">
        <v>608</v>
      </c>
      <c r="P1" s="16" t="s">
        <v>609</v>
      </c>
      <c r="Q1" s="1" t="s">
        <v>610</v>
      </c>
      <c r="R1" s="1" t="s">
        <v>611</v>
      </c>
      <c r="S1" s="1" t="s">
        <v>612</v>
      </c>
    </row>
    <row r="2" spans="1:19" ht="16.5" customHeight="1">
      <c r="A2" s="3" t="s">
        <v>13</v>
      </c>
      <c r="B2" s="4">
        <v>160</v>
      </c>
      <c r="C2" s="4">
        <v>2956</v>
      </c>
      <c r="D2" s="4">
        <v>16512</v>
      </c>
      <c r="E2" s="4">
        <v>1168</v>
      </c>
      <c r="F2" s="4">
        <v>100</v>
      </c>
      <c r="G2" s="17">
        <v>0.05</v>
      </c>
      <c r="H2" s="17">
        <v>0.5</v>
      </c>
      <c r="I2" s="17">
        <v>1</v>
      </c>
      <c r="J2" s="17">
        <v>0</v>
      </c>
      <c r="K2" s="17">
        <v>1</v>
      </c>
      <c r="L2" s="4">
        <v>180</v>
      </c>
      <c r="M2" s="4">
        <v>140</v>
      </c>
      <c r="N2" s="4">
        <v>20</v>
      </c>
      <c r="O2" s="4">
        <v>10</v>
      </c>
      <c r="P2" s="4">
        <v>10</v>
      </c>
      <c r="Q2" s="4" t="s">
        <v>613</v>
      </c>
      <c r="R2" s="4" t="s">
        <v>614</v>
      </c>
      <c r="S2" s="4"/>
    </row>
    <row r="3" spans="1:19" ht="16.5" customHeight="1">
      <c r="A3" s="3" t="s">
        <v>23</v>
      </c>
      <c r="B3" s="4">
        <v>200</v>
      </c>
      <c r="C3" s="4">
        <v>4634</v>
      </c>
      <c r="D3" s="4">
        <v>22513</v>
      </c>
      <c r="E3" s="4">
        <v>1761</v>
      </c>
      <c r="F3" s="4">
        <v>90</v>
      </c>
      <c r="G3" s="17">
        <v>0.14000000000000001</v>
      </c>
      <c r="H3" s="17">
        <v>0.68</v>
      </c>
      <c r="I3" s="17">
        <v>1</v>
      </c>
      <c r="J3" s="17">
        <v>0</v>
      </c>
      <c r="K3" s="17">
        <v>1</v>
      </c>
      <c r="L3" s="4">
        <v>180</v>
      </c>
      <c r="M3" s="4">
        <v>20</v>
      </c>
      <c r="N3" s="4">
        <v>20</v>
      </c>
      <c r="O3" s="4">
        <v>130</v>
      </c>
      <c r="P3" s="4">
        <v>10</v>
      </c>
      <c r="Q3" s="4" t="s">
        <v>613</v>
      </c>
      <c r="R3" s="4" t="s">
        <v>615</v>
      </c>
      <c r="S3" s="4" t="s">
        <v>616</v>
      </c>
    </row>
    <row r="4" spans="1:19" ht="16.5" customHeight="1">
      <c r="A4" s="3" t="s">
        <v>31</v>
      </c>
      <c r="B4" s="4">
        <v>200</v>
      </c>
      <c r="C4" s="4">
        <v>4436</v>
      </c>
      <c r="D4" s="4">
        <v>22861</v>
      </c>
      <c r="E4" s="4">
        <v>1768</v>
      </c>
      <c r="F4" s="4">
        <v>115</v>
      </c>
      <c r="G4" s="17">
        <v>0.05</v>
      </c>
      <c r="H4" s="17">
        <v>0.5</v>
      </c>
      <c r="I4" s="17">
        <v>1.1200000000000001</v>
      </c>
      <c r="J4" s="17">
        <v>0</v>
      </c>
      <c r="K4" s="17">
        <v>1</v>
      </c>
      <c r="L4" s="4">
        <v>150</v>
      </c>
      <c r="M4" s="4">
        <v>20</v>
      </c>
      <c r="N4" s="4">
        <v>20</v>
      </c>
      <c r="O4" s="4">
        <v>160</v>
      </c>
      <c r="P4" s="4">
        <v>10</v>
      </c>
      <c r="Q4" s="4" t="s">
        <v>617</v>
      </c>
      <c r="R4" s="4" t="s">
        <v>618</v>
      </c>
      <c r="S4" s="4" t="s">
        <v>619</v>
      </c>
    </row>
    <row r="5" spans="1:19" ht="16.5" customHeight="1">
      <c r="A5" s="3" t="s">
        <v>38</v>
      </c>
      <c r="B5" s="4">
        <v>200</v>
      </c>
      <c r="C5" s="4">
        <v>4578</v>
      </c>
      <c r="D5" s="4">
        <v>22699</v>
      </c>
      <c r="E5" s="4">
        <v>1767</v>
      </c>
      <c r="F5" s="4">
        <v>104</v>
      </c>
      <c r="G5" s="17">
        <v>0.05</v>
      </c>
      <c r="H5" s="17">
        <v>0.5</v>
      </c>
      <c r="I5" s="17">
        <v>1.1599999999999999</v>
      </c>
      <c r="J5" s="17">
        <v>0</v>
      </c>
      <c r="K5" s="17">
        <v>1</v>
      </c>
      <c r="L5" s="4">
        <v>150</v>
      </c>
      <c r="M5" s="4">
        <v>20</v>
      </c>
      <c r="N5" s="4">
        <v>20</v>
      </c>
      <c r="O5" s="4">
        <v>160</v>
      </c>
      <c r="P5" s="4">
        <v>10</v>
      </c>
      <c r="Q5" s="4" t="s">
        <v>618</v>
      </c>
      <c r="R5" s="4" t="s">
        <v>613</v>
      </c>
      <c r="S5" s="4" t="s">
        <v>620</v>
      </c>
    </row>
    <row r="6" spans="1:19" ht="16.5" customHeight="1">
      <c r="A6" s="3" t="s">
        <v>44</v>
      </c>
      <c r="B6" s="4">
        <v>200</v>
      </c>
      <c r="C6" s="4">
        <v>4648</v>
      </c>
      <c r="D6" s="4">
        <v>22538</v>
      </c>
      <c r="E6" s="4">
        <v>1752</v>
      </c>
      <c r="F6" s="4">
        <v>93</v>
      </c>
      <c r="G6" s="17">
        <v>0.14000000000000001</v>
      </c>
      <c r="H6" s="17">
        <v>0.68</v>
      </c>
      <c r="I6" s="17">
        <v>1</v>
      </c>
      <c r="J6" s="17">
        <v>0</v>
      </c>
      <c r="K6" s="17">
        <v>1</v>
      </c>
      <c r="L6" s="4">
        <v>180</v>
      </c>
      <c r="M6" s="4">
        <v>20</v>
      </c>
      <c r="N6" s="4">
        <v>20</v>
      </c>
      <c r="O6" s="4">
        <v>130</v>
      </c>
      <c r="P6" s="4">
        <v>10</v>
      </c>
      <c r="Q6" s="4" t="s">
        <v>613</v>
      </c>
      <c r="R6" s="4" t="s">
        <v>615</v>
      </c>
      <c r="S6" s="4" t="s">
        <v>621</v>
      </c>
    </row>
    <row r="7" spans="1:19" ht="16.5" customHeight="1">
      <c r="A7" s="3" t="s">
        <v>51</v>
      </c>
      <c r="B7" s="4">
        <v>200</v>
      </c>
      <c r="C7" s="4">
        <v>4164</v>
      </c>
      <c r="D7" s="4">
        <v>25285</v>
      </c>
      <c r="E7" s="4">
        <v>1768</v>
      </c>
      <c r="F7" s="4">
        <v>107</v>
      </c>
      <c r="G7" s="17">
        <v>0.05</v>
      </c>
      <c r="H7" s="17">
        <v>0.5</v>
      </c>
      <c r="I7" s="17">
        <v>1.1599999999999999</v>
      </c>
      <c r="J7" s="17">
        <v>0</v>
      </c>
      <c r="K7" s="17">
        <v>1</v>
      </c>
      <c r="L7" s="4">
        <v>150</v>
      </c>
      <c r="M7" s="4">
        <v>20</v>
      </c>
      <c r="N7" s="4">
        <v>20</v>
      </c>
      <c r="O7" s="4">
        <v>160</v>
      </c>
      <c r="P7" s="4">
        <v>10</v>
      </c>
      <c r="Q7" s="4" t="s">
        <v>618</v>
      </c>
      <c r="R7" s="4" t="s">
        <v>613</v>
      </c>
      <c r="S7" s="4" t="s">
        <v>620</v>
      </c>
    </row>
    <row r="8" spans="1:19" ht="16.5" customHeight="1">
      <c r="A8" s="3" t="s">
        <v>57</v>
      </c>
      <c r="B8" s="4">
        <v>200</v>
      </c>
      <c r="C8" s="4">
        <v>4614</v>
      </c>
      <c r="D8" s="4">
        <v>23004</v>
      </c>
      <c r="E8" s="4">
        <v>1751</v>
      </c>
      <c r="F8" s="4">
        <v>90</v>
      </c>
      <c r="G8" s="17">
        <v>0.05</v>
      </c>
      <c r="H8" s="17">
        <v>0.5</v>
      </c>
      <c r="I8" s="17">
        <v>1.1599999999999999</v>
      </c>
      <c r="J8" s="17">
        <v>0</v>
      </c>
      <c r="K8" s="17">
        <v>1</v>
      </c>
      <c r="L8" s="4">
        <v>150</v>
      </c>
      <c r="M8" s="4">
        <v>20</v>
      </c>
      <c r="N8" s="4">
        <v>20</v>
      </c>
      <c r="O8" s="4">
        <v>160</v>
      </c>
      <c r="P8" s="4">
        <v>10</v>
      </c>
      <c r="Q8" s="4" t="s">
        <v>618</v>
      </c>
      <c r="R8" s="4" t="s">
        <v>613</v>
      </c>
      <c r="S8" s="4" t="s">
        <v>620</v>
      </c>
    </row>
    <row r="9" spans="1:19" ht="16.5" customHeight="1">
      <c r="A9" s="3" t="s">
        <v>62</v>
      </c>
      <c r="B9" s="4">
        <v>160</v>
      </c>
      <c r="C9" s="4">
        <v>2748</v>
      </c>
      <c r="D9" s="4">
        <v>15775</v>
      </c>
      <c r="E9" s="4">
        <v>1158</v>
      </c>
      <c r="F9" s="4">
        <v>94</v>
      </c>
      <c r="G9" s="17">
        <v>0.2</v>
      </c>
      <c r="H9" s="17">
        <v>0.5</v>
      </c>
      <c r="I9" s="17">
        <v>1</v>
      </c>
      <c r="J9" s="17">
        <v>0</v>
      </c>
      <c r="K9" s="17">
        <v>1</v>
      </c>
      <c r="L9" s="4">
        <v>180</v>
      </c>
      <c r="M9" s="4">
        <v>20</v>
      </c>
      <c r="N9" s="4">
        <v>20</v>
      </c>
      <c r="O9" s="4">
        <v>130</v>
      </c>
      <c r="P9" s="4">
        <v>10</v>
      </c>
      <c r="Q9" s="4" t="s">
        <v>622</v>
      </c>
      <c r="R9" s="4" t="s">
        <v>613</v>
      </c>
      <c r="S9" s="4"/>
    </row>
    <row r="10" spans="1:19" ht="16.5" customHeight="1">
      <c r="A10" s="3" t="s">
        <v>71</v>
      </c>
      <c r="B10" s="4">
        <v>200</v>
      </c>
      <c r="C10" s="4">
        <v>4173</v>
      </c>
      <c r="D10" s="4">
        <v>23064</v>
      </c>
      <c r="E10" s="4">
        <v>1756</v>
      </c>
      <c r="F10" s="4">
        <v>90</v>
      </c>
      <c r="G10" s="17">
        <v>0.05</v>
      </c>
      <c r="H10" s="17">
        <v>0.75</v>
      </c>
      <c r="I10" s="17">
        <v>1.1599999999999999</v>
      </c>
      <c r="J10" s="17">
        <v>0</v>
      </c>
      <c r="K10" s="17">
        <v>1</v>
      </c>
      <c r="L10" s="4">
        <v>150</v>
      </c>
      <c r="M10" s="4">
        <v>20</v>
      </c>
      <c r="N10" s="4">
        <v>20</v>
      </c>
      <c r="O10" s="4">
        <v>160</v>
      </c>
      <c r="P10" s="4">
        <v>10</v>
      </c>
      <c r="Q10" s="4" t="s">
        <v>618</v>
      </c>
      <c r="R10" s="4" t="s">
        <v>613</v>
      </c>
      <c r="S10" s="4" t="s">
        <v>620</v>
      </c>
    </row>
    <row r="11" spans="1:19" ht="16.5" customHeight="1">
      <c r="A11" s="3" t="s">
        <v>76</v>
      </c>
      <c r="B11" s="4">
        <v>160</v>
      </c>
      <c r="C11" s="4">
        <v>2381</v>
      </c>
      <c r="D11" s="4">
        <v>18145</v>
      </c>
      <c r="E11" s="4">
        <v>1200</v>
      </c>
      <c r="F11" s="4">
        <v>95</v>
      </c>
      <c r="G11" s="17">
        <v>0.05</v>
      </c>
      <c r="H11" s="17">
        <v>0.5</v>
      </c>
      <c r="I11" s="17">
        <v>1</v>
      </c>
      <c r="J11" s="17">
        <v>0.04</v>
      </c>
      <c r="K11" s="17">
        <v>1</v>
      </c>
      <c r="L11" s="4">
        <v>10</v>
      </c>
      <c r="M11" s="4">
        <v>150</v>
      </c>
      <c r="N11" s="4">
        <v>30</v>
      </c>
      <c r="O11" s="4">
        <v>10</v>
      </c>
      <c r="P11" s="4">
        <v>160</v>
      </c>
      <c r="Q11" s="4" t="s">
        <v>623</v>
      </c>
      <c r="R11" s="4" t="s">
        <v>614</v>
      </c>
      <c r="S11" s="4"/>
    </row>
    <row r="12" spans="1:19" ht="16.5" customHeight="1">
      <c r="A12" s="3" t="s">
        <v>82</v>
      </c>
      <c r="B12" s="4">
        <v>160</v>
      </c>
      <c r="C12" s="4">
        <v>2421</v>
      </c>
      <c r="D12" s="4">
        <v>17965</v>
      </c>
      <c r="E12" s="4">
        <v>1233</v>
      </c>
      <c r="F12" s="4">
        <v>95</v>
      </c>
      <c r="G12" s="17">
        <v>0.05</v>
      </c>
      <c r="H12" s="17">
        <v>0.5</v>
      </c>
      <c r="I12" s="17">
        <v>1</v>
      </c>
      <c r="J12" s="17">
        <v>0.08</v>
      </c>
      <c r="K12" s="17">
        <v>1</v>
      </c>
      <c r="L12" s="4">
        <v>10</v>
      </c>
      <c r="M12" s="4">
        <v>180</v>
      </c>
      <c r="N12" s="4">
        <v>150</v>
      </c>
      <c r="O12" s="4">
        <v>10</v>
      </c>
      <c r="P12" s="4">
        <v>10</v>
      </c>
      <c r="Q12" s="4" t="s">
        <v>614</v>
      </c>
      <c r="R12" s="4" t="s">
        <v>624</v>
      </c>
      <c r="S12" s="4"/>
    </row>
    <row r="13" spans="1:19" ht="16.5" customHeight="1">
      <c r="A13" s="3" t="s">
        <v>87</v>
      </c>
      <c r="B13" s="4">
        <v>200</v>
      </c>
      <c r="C13" s="4">
        <v>4637</v>
      </c>
      <c r="D13" s="4">
        <v>23626</v>
      </c>
      <c r="E13" s="4">
        <v>1767</v>
      </c>
      <c r="F13" s="4">
        <v>104</v>
      </c>
      <c r="G13" s="17">
        <v>0.05</v>
      </c>
      <c r="H13" s="17">
        <v>0.5</v>
      </c>
      <c r="I13" s="17">
        <v>1</v>
      </c>
      <c r="J13" s="17">
        <v>0</v>
      </c>
      <c r="K13" s="17">
        <v>1</v>
      </c>
      <c r="L13" s="4">
        <v>180</v>
      </c>
      <c r="M13" s="4">
        <v>140</v>
      </c>
      <c r="N13" s="4">
        <v>20</v>
      </c>
      <c r="O13" s="4">
        <v>10</v>
      </c>
      <c r="P13" s="4">
        <v>10</v>
      </c>
      <c r="Q13" s="4" t="s">
        <v>613</v>
      </c>
      <c r="R13" s="4" t="s">
        <v>614</v>
      </c>
      <c r="S13" s="4" t="s">
        <v>625</v>
      </c>
    </row>
    <row r="14" spans="1:19" ht="16.5" customHeight="1">
      <c r="A14" s="3" t="s">
        <v>95</v>
      </c>
      <c r="B14" s="4">
        <v>200</v>
      </c>
      <c r="C14" s="4">
        <v>3680</v>
      </c>
      <c r="D14" s="4">
        <v>26695</v>
      </c>
      <c r="E14" s="4">
        <v>1815</v>
      </c>
      <c r="F14" s="4">
        <v>95</v>
      </c>
      <c r="G14" s="17">
        <v>0.05</v>
      </c>
      <c r="H14" s="17">
        <v>0.5</v>
      </c>
      <c r="I14" s="17">
        <v>1.1200000000000001</v>
      </c>
      <c r="J14" s="17">
        <v>0.12</v>
      </c>
      <c r="K14" s="17">
        <v>1</v>
      </c>
      <c r="L14" s="4">
        <v>10</v>
      </c>
      <c r="M14" s="4">
        <v>180</v>
      </c>
      <c r="N14" s="4">
        <v>30</v>
      </c>
      <c r="O14" s="4">
        <v>10</v>
      </c>
      <c r="P14" s="4">
        <v>130</v>
      </c>
      <c r="Q14" s="4" t="s">
        <v>614</v>
      </c>
      <c r="R14" s="4" t="s">
        <v>623</v>
      </c>
      <c r="S14" s="4" t="s">
        <v>620</v>
      </c>
    </row>
    <row r="15" spans="1:19" ht="16.5" customHeight="1">
      <c r="A15" s="3" t="s">
        <v>100</v>
      </c>
      <c r="B15" s="4">
        <v>200</v>
      </c>
      <c r="C15" s="4">
        <v>4662</v>
      </c>
      <c r="D15" s="4">
        <v>23738</v>
      </c>
      <c r="E15" s="4">
        <v>1763</v>
      </c>
      <c r="F15" s="4">
        <v>107</v>
      </c>
      <c r="G15" s="17">
        <v>0.05</v>
      </c>
      <c r="H15" s="17">
        <v>0.5</v>
      </c>
      <c r="I15" s="17">
        <v>1</v>
      </c>
      <c r="J15" s="17">
        <v>0</v>
      </c>
      <c r="K15" s="17">
        <v>1</v>
      </c>
      <c r="L15" s="4">
        <v>180</v>
      </c>
      <c r="M15" s="4">
        <v>140</v>
      </c>
      <c r="N15" s="4">
        <v>20</v>
      </c>
      <c r="O15" s="4">
        <v>10</v>
      </c>
      <c r="P15" s="4">
        <v>10</v>
      </c>
      <c r="Q15" s="4" t="s">
        <v>613</v>
      </c>
      <c r="R15" s="4" t="s">
        <v>614</v>
      </c>
      <c r="S15" s="4" t="s">
        <v>625</v>
      </c>
    </row>
    <row r="16" spans="1:19" ht="16.5" customHeight="1">
      <c r="A16" s="3" t="s">
        <v>105</v>
      </c>
      <c r="B16" s="4">
        <v>200</v>
      </c>
      <c r="C16" s="4">
        <v>4598</v>
      </c>
      <c r="D16" s="4">
        <v>23746</v>
      </c>
      <c r="E16" s="4">
        <v>1777</v>
      </c>
      <c r="F16" s="4">
        <v>100</v>
      </c>
      <c r="G16" s="17">
        <v>0.05</v>
      </c>
      <c r="H16" s="17">
        <v>0.5</v>
      </c>
      <c r="I16" s="17">
        <v>1.1200000000000001</v>
      </c>
      <c r="J16" s="17">
        <v>0</v>
      </c>
      <c r="K16" s="17">
        <v>1</v>
      </c>
      <c r="L16" s="4">
        <v>180</v>
      </c>
      <c r="M16" s="4">
        <v>140</v>
      </c>
      <c r="N16" s="4">
        <v>20</v>
      </c>
      <c r="O16" s="4">
        <v>10</v>
      </c>
      <c r="P16" s="4">
        <v>10</v>
      </c>
      <c r="Q16" s="4" t="s">
        <v>613</v>
      </c>
      <c r="R16" s="4" t="s">
        <v>614</v>
      </c>
      <c r="S16" s="4" t="s">
        <v>620</v>
      </c>
    </row>
    <row r="17" spans="1:19" ht="16.5" customHeight="1">
      <c r="A17" s="3" t="s">
        <v>109</v>
      </c>
      <c r="B17" s="4">
        <v>160</v>
      </c>
      <c r="C17" s="4">
        <v>2700</v>
      </c>
      <c r="D17" s="4">
        <v>17836</v>
      </c>
      <c r="E17" s="4">
        <v>1158</v>
      </c>
      <c r="F17" s="4">
        <v>100</v>
      </c>
      <c r="G17" s="17">
        <v>0.05</v>
      </c>
      <c r="H17" s="17">
        <v>0.5</v>
      </c>
      <c r="I17" s="17">
        <v>1</v>
      </c>
      <c r="J17" s="17">
        <v>0</v>
      </c>
      <c r="K17" s="17">
        <v>1</v>
      </c>
      <c r="L17" s="4">
        <v>180</v>
      </c>
      <c r="M17" s="4">
        <v>20</v>
      </c>
      <c r="N17" s="4">
        <v>140</v>
      </c>
      <c r="O17" s="4">
        <v>10</v>
      </c>
      <c r="P17" s="4">
        <v>10</v>
      </c>
      <c r="Q17" s="4" t="s">
        <v>613</v>
      </c>
      <c r="R17" s="4" t="s">
        <v>614</v>
      </c>
      <c r="S17" s="4"/>
    </row>
    <row r="18" spans="1:19" ht="16.5" customHeight="1">
      <c r="A18" s="4" t="s">
        <v>116</v>
      </c>
      <c r="B18" s="4">
        <v>200</v>
      </c>
      <c r="C18" s="4">
        <v>4144</v>
      </c>
      <c r="D18" s="4">
        <v>23686</v>
      </c>
      <c r="E18" s="4">
        <v>1772</v>
      </c>
      <c r="F18" s="4">
        <v>100</v>
      </c>
      <c r="G18" s="17">
        <v>0.2</v>
      </c>
      <c r="H18" s="17">
        <v>0.5</v>
      </c>
      <c r="I18" s="17">
        <v>1.1200000000000001</v>
      </c>
      <c r="J18" s="17">
        <v>0</v>
      </c>
      <c r="K18" s="17">
        <v>1</v>
      </c>
      <c r="L18" s="4">
        <v>180</v>
      </c>
      <c r="M18" s="4">
        <v>140</v>
      </c>
      <c r="N18" s="4">
        <v>20</v>
      </c>
      <c r="O18" s="4">
        <v>10</v>
      </c>
      <c r="P18" s="4">
        <v>10</v>
      </c>
      <c r="Q18" s="4" t="s">
        <v>613</v>
      </c>
      <c r="R18" s="4" t="s">
        <v>614</v>
      </c>
      <c r="S18" s="4" t="s">
        <v>620</v>
      </c>
    </row>
    <row r="19" spans="1:19" ht="16.5" customHeight="1">
      <c r="A19" s="3" t="s">
        <v>117</v>
      </c>
      <c r="B19" s="4">
        <v>200</v>
      </c>
      <c r="C19" s="4">
        <v>4568</v>
      </c>
      <c r="D19" s="4">
        <v>22639</v>
      </c>
      <c r="E19" s="4">
        <v>1762</v>
      </c>
      <c r="F19" s="4">
        <v>100</v>
      </c>
      <c r="G19" s="17">
        <v>0.14000000000000001</v>
      </c>
      <c r="H19" s="17">
        <v>0.68</v>
      </c>
      <c r="I19" s="17">
        <v>1</v>
      </c>
      <c r="J19" s="17">
        <v>0</v>
      </c>
      <c r="K19" s="17">
        <v>1</v>
      </c>
      <c r="L19" s="3">
        <v>180</v>
      </c>
      <c r="M19" s="3">
        <v>20</v>
      </c>
      <c r="N19" s="3">
        <v>20</v>
      </c>
      <c r="O19" s="3">
        <v>10</v>
      </c>
      <c r="P19" s="4">
        <v>130</v>
      </c>
      <c r="Q19" s="3" t="s">
        <v>613</v>
      </c>
      <c r="R19" s="3" t="s">
        <v>622</v>
      </c>
      <c r="S19" s="3" t="s">
        <v>626</v>
      </c>
    </row>
    <row r="20" spans="1:19" ht="16.5" customHeight="1">
      <c r="A20" s="3" t="s">
        <v>122</v>
      </c>
      <c r="B20" s="4">
        <v>160</v>
      </c>
      <c r="C20" s="4">
        <v>2411</v>
      </c>
      <c r="D20" s="4">
        <v>17905</v>
      </c>
      <c r="E20" s="4">
        <v>1228</v>
      </c>
      <c r="F20" s="4">
        <v>95</v>
      </c>
      <c r="G20" s="17">
        <v>0.05</v>
      </c>
      <c r="H20" s="17">
        <v>0.5</v>
      </c>
      <c r="I20" s="17">
        <v>1</v>
      </c>
      <c r="J20" s="17">
        <v>0.08</v>
      </c>
      <c r="K20" s="17">
        <v>1</v>
      </c>
      <c r="L20" s="4">
        <v>10</v>
      </c>
      <c r="M20" s="4">
        <v>180</v>
      </c>
      <c r="N20" s="4">
        <v>150</v>
      </c>
      <c r="O20" s="4">
        <v>10</v>
      </c>
      <c r="P20" s="4">
        <v>10</v>
      </c>
      <c r="Q20" s="4" t="s">
        <v>614</v>
      </c>
      <c r="R20" s="4" t="s">
        <v>624</v>
      </c>
      <c r="S20" s="4"/>
    </row>
    <row r="21" spans="1:19" ht="16.5" customHeight="1">
      <c r="A21" s="3" t="s">
        <v>127</v>
      </c>
      <c r="B21" s="4">
        <v>200</v>
      </c>
      <c r="C21" s="4">
        <v>3710</v>
      </c>
      <c r="D21" s="4">
        <v>24276</v>
      </c>
      <c r="E21" s="4">
        <v>2096</v>
      </c>
      <c r="F21" s="4">
        <v>95</v>
      </c>
      <c r="G21" s="17">
        <v>0.05</v>
      </c>
      <c r="H21" s="17">
        <v>0.5</v>
      </c>
      <c r="I21" s="17">
        <v>1</v>
      </c>
      <c r="J21" s="17">
        <v>0.12</v>
      </c>
      <c r="K21" s="17">
        <v>1</v>
      </c>
      <c r="L21" s="4">
        <v>10</v>
      </c>
      <c r="M21" s="4">
        <v>180</v>
      </c>
      <c r="N21" s="4">
        <v>30</v>
      </c>
      <c r="O21" s="4">
        <v>10</v>
      </c>
      <c r="P21" s="4">
        <v>130</v>
      </c>
      <c r="Q21" s="4" t="s">
        <v>614</v>
      </c>
      <c r="R21" s="4" t="s">
        <v>623</v>
      </c>
      <c r="S21" s="4" t="s">
        <v>627</v>
      </c>
    </row>
    <row r="22" spans="1:19" ht="16.5" customHeight="1">
      <c r="A22" s="3" t="s">
        <v>133</v>
      </c>
      <c r="B22" s="4">
        <v>200</v>
      </c>
      <c r="C22" s="4">
        <v>4634</v>
      </c>
      <c r="D22" s="4">
        <v>22513</v>
      </c>
      <c r="E22" s="4">
        <v>1761</v>
      </c>
      <c r="F22" s="4">
        <v>90</v>
      </c>
      <c r="G22" s="17">
        <v>0.14000000000000001</v>
      </c>
      <c r="H22" s="17">
        <v>0.5</v>
      </c>
      <c r="I22" s="17">
        <v>1</v>
      </c>
      <c r="J22" s="17">
        <v>0.12</v>
      </c>
      <c r="K22" s="17">
        <v>1</v>
      </c>
      <c r="L22" s="4">
        <v>150</v>
      </c>
      <c r="M22" s="4">
        <v>20</v>
      </c>
      <c r="N22" s="4">
        <v>20</v>
      </c>
      <c r="O22" s="4">
        <v>10</v>
      </c>
      <c r="P22" s="4">
        <v>160</v>
      </c>
      <c r="Q22" s="4" t="s">
        <v>613</v>
      </c>
      <c r="R22" s="4" t="s">
        <v>623</v>
      </c>
      <c r="S22" s="4" t="s">
        <v>621</v>
      </c>
    </row>
    <row r="23" spans="1:19" ht="16.5" customHeight="1">
      <c r="A23" s="3" t="s">
        <v>139</v>
      </c>
      <c r="B23" s="4">
        <v>200</v>
      </c>
      <c r="C23" s="4">
        <v>3687</v>
      </c>
      <c r="D23" s="4">
        <v>27258</v>
      </c>
      <c r="E23" s="4">
        <v>1883</v>
      </c>
      <c r="F23" s="4">
        <v>98</v>
      </c>
      <c r="G23" s="17">
        <v>0.05</v>
      </c>
      <c r="H23" s="17">
        <v>0.5</v>
      </c>
      <c r="I23" s="17">
        <v>1</v>
      </c>
      <c r="J23" s="17">
        <v>0.08</v>
      </c>
      <c r="K23" s="17">
        <v>1</v>
      </c>
      <c r="L23" s="4">
        <v>10</v>
      </c>
      <c r="M23" s="4">
        <v>180</v>
      </c>
      <c r="N23" s="4">
        <v>150</v>
      </c>
      <c r="O23" s="4">
        <v>10</v>
      </c>
      <c r="P23" s="4">
        <v>10</v>
      </c>
      <c r="Q23" s="4" t="s">
        <v>614</v>
      </c>
      <c r="R23" s="4" t="s">
        <v>624</v>
      </c>
      <c r="S23" s="4" t="s">
        <v>628</v>
      </c>
    </row>
    <row r="24" spans="1:19" ht="16.5" customHeight="1">
      <c r="A24" s="3" t="s">
        <v>144</v>
      </c>
      <c r="B24" s="4">
        <v>200</v>
      </c>
      <c r="C24" s="4">
        <v>3690</v>
      </c>
      <c r="D24" s="4">
        <v>27117</v>
      </c>
      <c r="E24" s="4">
        <v>1891</v>
      </c>
      <c r="F24" s="4">
        <v>95</v>
      </c>
      <c r="G24" s="17">
        <v>0.05</v>
      </c>
      <c r="H24" s="17">
        <v>0.5</v>
      </c>
      <c r="I24" s="17">
        <v>1</v>
      </c>
      <c r="J24" s="17">
        <v>0.08</v>
      </c>
      <c r="K24" s="17">
        <v>1</v>
      </c>
      <c r="L24" s="4">
        <v>10</v>
      </c>
      <c r="M24" s="4">
        <v>180</v>
      </c>
      <c r="N24" s="4">
        <v>150</v>
      </c>
      <c r="O24" s="4">
        <v>10</v>
      </c>
      <c r="P24" s="4">
        <v>10</v>
      </c>
      <c r="Q24" s="4" t="s">
        <v>614</v>
      </c>
      <c r="R24" s="4" t="s">
        <v>624</v>
      </c>
      <c r="S24" s="4" t="s">
        <v>628</v>
      </c>
    </row>
    <row r="25" spans="1:19" ht="16.5" customHeight="1">
      <c r="A25" s="3" t="s">
        <v>148</v>
      </c>
      <c r="B25" s="4">
        <v>160</v>
      </c>
      <c r="C25" s="4">
        <v>2720</v>
      </c>
      <c r="D25" s="4">
        <v>15973</v>
      </c>
      <c r="E25" s="4">
        <v>1168</v>
      </c>
      <c r="F25" s="4">
        <v>100</v>
      </c>
      <c r="G25" s="17">
        <v>0.26</v>
      </c>
      <c r="H25" s="17">
        <v>0.5</v>
      </c>
      <c r="I25" s="17">
        <v>1</v>
      </c>
      <c r="J25" s="17">
        <v>0</v>
      </c>
      <c r="K25" s="17">
        <v>1</v>
      </c>
      <c r="L25" s="4">
        <v>180</v>
      </c>
      <c r="M25" s="4">
        <v>20</v>
      </c>
      <c r="N25" s="4">
        <v>20</v>
      </c>
      <c r="O25" s="4">
        <v>130</v>
      </c>
      <c r="P25" s="4">
        <v>10</v>
      </c>
      <c r="Q25" s="4" t="s">
        <v>613</v>
      </c>
      <c r="R25" s="4" t="s">
        <v>622</v>
      </c>
      <c r="S25" s="4"/>
    </row>
    <row r="26" spans="1:19" ht="16.5" customHeight="1">
      <c r="A26" s="4" t="s">
        <v>153</v>
      </c>
      <c r="B26" s="4">
        <v>160</v>
      </c>
      <c r="C26" s="4">
        <v>2979</v>
      </c>
      <c r="D26" s="4">
        <v>15715</v>
      </c>
      <c r="E26" s="4">
        <v>1153</v>
      </c>
      <c r="F26" s="4">
        <v>90</v>
      </c>
      <c r="G26" s="17">
        <v>0.05</v>
      </c>
      <c r="H26" s="17">
        <v>0.5</v>
      </c>
      <c r="I26" s="17">
        <v>1</v>
      </c>
      <c r="J26" s="17">
        <v>0.12</v>
      </c>
      <c r="K26" s="17">
        <v>1</v>
      </c>
      <c r="L26" s="4">
        <v>180</v>
      </c>
      <c r="M26" s="4">
        <v>20</v>
      </c>
      <c r="N26" s="4">
        <v>20</v>
      </c>
      <c r="O26" s="4">
        <v>10</v>
      </c>
      <c r="P26" s="4">
        <v>130</v>
      </c>
      <c r="Q26" s="4" t="s">
        <v>613</v>
      </c>
      <c r="R26" s="4" t="s">
        <v>623</v>
      </c>
      <c r="S26" s="4"/>
    </row>
    <row r="27" spans="1:19" ht="16.5" customHeight="1">
      <c r="A27" s="4" t="s">
        <v>157</v>
      </c>
      <c r="B27" s="4">
        <v>200</v>
      </c>
      <c r="C27" s="4">
        <v>4627</v>
      </c>
      <c r="D27" s="4">
        <v>23566</v>
      </c>
      <c r="E27" s="4">
        <v>1762</v>
      </c>
      <c r="F27" s="4">
        <v>104</v>
      </c>
      <c r="G27" s="17">
        <v>0.05</v>
      </c>
      <c r="H27" s="17">
        <v>0.5</v>
      </c>
      <c r="I27" s="17">
        <v>1</v>
      </c>
      <c r="J27" s="17">
        <v>0</v>
      </c>
      <c r="K27" s="17">
        <v>1</v>
      </c>
      <c r="L27" s="4">
        <v>180</v>
      </c>
      <c r="M27" s="4">
        <v>140</v>
      </c>
      <c r="N27" s="4">
        <v>20</v>
      </c>
      <c r="O27" s="4">
        <v>10</v>
      </c>
      <c r="P27" s="4">
        <v>10</v>
      </c>
      <c r="Q27" s="4" t="s">
        <v>613</v>
      </c>
      <c r="R27" s="4" t="s">
        <v>614</v>
      </c>
      <c r="S27" s="4" t="s">
        <v>625</v>
      </c>
    </row>
    <row r="28" spans="1:19" ht="16.5" customHeight="1">
      <c r="A28" s="3" t="s">
        <v>158</v>
      </c>
      <c r="B28" s="4">
        <v>200</v>
      </c>
      <c r="C28" s="4">
        <v>4703</v>
      </c>
      <c r="D28" s="4">
        <v>22573</v>
      </c>
      <c r="E28" s="4">
        <v>1766</v>
      </c>
      <c r="F28" s="4">
        <v>90</v>
      </c>
      <c r="G28" s="17">
        <v>0.14000000000000001</v>
      </c>
      <c r="H28" s="17">
        <v>0.62</v>
      </c>
      <c r="I28" s="17">
        <v>1</v>
      </c>
      <c r="J28" s="17">
        <v>0</v>
      </c>
      <c r="K28" s="17">
        <v>1</v>
      </c>
      <c r="L28" s="4">
        <v>180</v>
      </c>
      <c r="M28" s="4">
        <v>20</v>
      </c>
      <c r="N28" s="4">
        <v>20</v>
      </c>
      <c r="O28" s="4">
        <v>130</v>
      </c>
      <c r="P28" s="4">
        <v>10</v>
      </c>
      <c r="Q28" s="4" t="s">
        <v>613</v>
      </c>
      <c r="R28" s="4" t="s">
        <v>622</v>
      </c>
      <c r="S28" s="4" t="s">
        <v>625</v>
      </c>
    </row>
    <row r="29" spans="1:19" ht="16.5" customHeight="1">
      <c r="A29" s="3" t="s">
        <v>163</v>
      </c>
      <c r="B29" s="4">
        <v>200</v>
      </c>
      <c r="C29" s="4">
        <v>4588</v>
      </c>
      <c r="D29" s="4">
        <v>23686</v>
      </c>
      <c r="E29" s="4">
        <v>1842</v>
      </c>
      <c r="F29" s="4">
        <v>100</v>
      </c>
      <c r="G29" s="17">
        <v>0.05</v>
      </c>
      <c r="H29" s="17">
        <v>0.5</v>
      </c>
      <c r="I29" s="17">
        <v>1</v>
      </c>
      <c r="J29" s="17">
        <v>0</v>
      </c>
      <c r="K29" s="17">
        <v>1</v>
      </c>
      <c r="L29" s="4">
        <v>180</v>
      </c>
      <c r="M29" s="4">
        <v>20</v>
      </c>
      <c r="N29" s="4">
        <v>140</v>
      </c>
      <c r="O29" s="4">
        <v>10</v>
      </c>
      <c r="P29" s="4">
        <v>10</v>
      </c>
      <c r="Q29" s="4" t="s">
        <v>613</v>
      </c>
      <c r="R29" s="4" t="s">
        <v>624</v>
      </c>
      <c r="S29" s="4" t="s">
        <v>628</v>
      </c>
    </row>
    <row r="30" spans="1:19" ht="16.5" customHeight="1">
      <c r="A30" s="3" t="s">
        <v>167</v>
      </c>
      <c r="B30" s="4">
        <v>200</v>
      </c>
      <c r="C30" s="4">
        <v>4203</v>
      </c>
      <c r="D30" s="4">
        <v>22633</v>
      </c>
      <c r="E30" s="4">
        <v>1771</v>
      </c>
      <c r="F30" s="4">
        <v>90</v>
      </c>
      <c r="G30" s="17">
        <v>0.14000000000000001</v>
      </c>
      <c r="H30" s="17">
        <v>0.75</v>
      </c>
      <c r="I30" s="17">
        <v>1</v>
      </c>
      <c r="J30" s="17">
        <v>0.12</v>
      </c>
      <c r="K30" s="17">
        <v>1</v>
      </c>
      <c r="L30" s="4">
        <v>150</v>
      </c>
      <c r="M30" s="4">
        <v>20</v>
      </c>
      <c r="N30" s="4">
        <v>20</v>
      </c>
      <c r="O30" s="4">
        <v>10</v>
      </c>
      <c r="P30" s="4">
        <v>160</v>
      </c>
      <c r="Q30" s="4" t="s">
        <v>613</v>
      </c>
      <c r="R30" s="4" t="s">
        <v>623</v>
      </c>
      <c r="S30" s="4" t="s">
        <v>621</v>
      </c>
    </row>
    <row r="31" spans="1:19" ht="16.5" customHeight="1">
      <c r="A31" s="3" t="s">
        <v>173</v>
      </c>
      <c r="B31" s="4">
        <v>200</v>
      </c>
      <c r="C31" s="4">
        <v>4588</v>
      </c>
      <c r="D31" s="4">
        <v>22759</v>
      </c>
      <c r="E31" s="4">
        <v>1772</v>
      </c>
      <c r="F31" s="4">
        <v>104</v>
      </c>
      <c r="G31" s="17">
        <v>0.05</v>
      </c>
      <c r="H31" s="17">
        <v>0.5</v>
      </c>
      <c r="I31" s="17">
        <v>1.1599999999999999</v>
      </c>
      <c r="J31" s="17">
        <v>0</v>
      </c>
      <c r="K31" s="17">
        <v>1</v>
      </c>
      <c r="L31" s="4">
        <v>150</v>
      </c>
      <c r="M31" s="4">
        <v>20</v>
      </c>
      <c r="N31" s="4">
        <v>20</v>
      </c>
      <c r="O31" s="4">
        <v>160</v>
      </c>
      <c r="P31" s="4">
        <v>10</v>
      </c>
      <c r="Q31" s="4" t="s">
        <v>618</v>
      </c>
      <c r="R31" s="4" t="s">
        <v>613</v>
      </c>
      <c r="S31" s="4" t="s">
        <v>620</v>
      </c>
    </row>
    <row r="32" spans="1:19" ht="16.5" customHeight="1">
      <c r="A32" s="3" t="s">
        <v>177</v>
      </c>
      <c r="B32" s="4">
        <v>200</v>
      </c>
      <c r="C32" s="4">
        <v>3690</v>
      </c>
      <c r="D32" s="4">
        <v>27117</v>
      </c>
      <c r="E32" s="4">
        <v>1891</v>
      </c>
      <c r="F32" s="4">
        <v>95</v>
      </c>
      <c r="G32" s="17">
        <v>0.05</v>
      </c>
      <c r="H32" s="17">
        <v>0.5</v>
      </c>
      <c r="I32" s="17">
        <v>1</v>
      </c>
      <c r="J32" s="17">
        <v>0.08</v>
      </c>
      <c r="K32" s="17">
        <v>1</v>
      </c>
      <c r="L32" s="4">
        <v>10</v>
      </c>
      <c r="M32" s="4">
        <v>180</v>
      </c>
      <c r="N32" s="4">
        <v>150</v>
      </c>
      <c r="O32" s="4">
        <v>10</v>
      </c>
      <c r="P32" s="4">
        <v>10</v>
      </c>
      <c r="Q32" s="4" t="s">
        <v>614</v>
      </c>
      <c r="R32" s="4" t="s">
        <v>624</v>
      </c>
      <c r="S32" s="4" t="s">
        <v>628</v>
      </c>
    </row>
    <row r="33" spans="1:19" ht="16.5" customHeight="1">
      <c r="A33" s="3" t="s">
        <v>181</v>
      </c>
      <c r="B33" s="4">
        <v>200</v>
      </c>
      <c r="C33" s="4">
        <v>3700</v>
      </c>
      <c r="D33" s="4">
        <v>27177</v>
      </c>
      <c r="E33" s="4">
        <v>1825</v>
      </c>
      <c r="F33" s="4">
        <v>99</v>
      </c>
      <c r="G33" s="17">
        <v>0.05</v>
      </c>
      <c r="H33" s="17">
        <v>0.5</v>
      </c>
      <c r="I33" s="17">
        <v>1</v>
      </c>
      <c r="J33" s="17">
        <v>0.12</v>
      </c>
      <c r="K33" s="17">
        <v>1</v>
      </c>
      <c r="L33" s="4">
        <v>10</v>
      </c>
      <c r="M33" s="4">
        <v>180</v>
      </c>
      <c r="N33" s="4">
        <v>30</v>
      </c>
      <c r="O33" s="4">
        <v>10</v>
      </c>
      <c r="P33" s="4">
        <v>130</v>
      </c>
      <c r="Q33" s="4" t="s">
        <v>614</v>
      </c>
      <c r="R33" s="4" t="s">
        <v>623</v>
      </c>
      <c r="S33" s="4" t="s">
        <v>628</v>
      </c>
    </row>
  </sheetData>
  <phoneticPr fontId="7"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28"/>
  <sheetViews>
    <sheetView workbookViewId="0"/>
  </sheetViews>
  <sheetFormatPr defaultColWidth="14.42578125" defaultRowHeight="15" customHeight="1"/>
  <cols>
    <col min="2" max="2" width="132.5703125" customWidth="1"/>
  </cols>
  <sheetData>
    <row r="1" spans="1:2">
      <c r="A1" s="10" t="s">
        <v>497</v>
      </c>
      <c r="B1" s="10" t="s">
        <v>498</v>
      </c>
    </row>
    <row r="2" spans="1:2">
      <c r="A2" s="10" t="s">
        <v>499</v>
      </c>
      <c r="B2" s="10" t="s">
        <v>500</v>
      </c>
    </row>
    <row r="3" spans="1:2">
      <c r="A3" s="10" t="s">
        <v>501</v>
      </c>
      <c r="B3" s="10" t="s">
        <v>502</v>
      </c>
    </row>
    <row r="4" spans="1:2">
      <c r="A4" s="10" t="s">
        <v>503</v>
      </c>
      <c r="B4" s="10" t="s">
        <v>504</v>
      </c>
    </row>
    <row r="5" spans="1:2">
      <c r="A5" s="10" t="s">
        <v>505</v>
      </c>
      <c r="B5" s="10" t="s">
        <v>506</v>
      </c>
    </row>
    <row r="6" spans="1:2">
      <c r="A6" s="10" t="s">
        <v>507</v>
      </c>
      <c r="B6" s="10" t="s">
        <v>508</v>
      </c>
    </row>
    <row r="7" spans="1:2">
      <c r="A7" s="10" t="s">
        <v>509</v>
      </c>
      <c r="B7" s="10" t="s">
        <v>510</v>
      </c>
    </row>
    <row r="8" spans="1:2">
      <c r="A8" s="10" t="s">
        <v>511</v>
      </c>
      <c r="B8" s="10" t="s">
        <v>512</v>
      </c>
    </row>
    <row r="9" spans="1:2">
      <c r="A9" s="10" t="s">
        <v>513</v>
      </c>
      <c r="B9" s="10" t="s">
        <v>514</v>
      </c>
    </row>
    <row r="10" spans="1:2">
      <c r="A10" s="10" t="s">
        <v>515</v>
      </c>
      <c r="B10" s="10" t="s">
        <v>516</v>
      </c>
    </row>
    <row r="11" spans="1:2">
      <c r="A11" s="10" t="s">
        <v>517</v>
      </c>
      <c r="B11" s="10" t="s">
        <v>518</v>
      </c>
    </row>
    <row r="12" spans="1:2">
      <c r="A12" s="10" t="s">
        <v>519</v>
      </c>
      <c r="B12" s="10" t="s">
        <v>520</v>
      </c>
    </row>
    <row r="13" spans="1:2">
      <c r="A13" s="10" t="s">
        <v>521</v>
      </c>
      <c r="B13" s="10" t="s">
        <v>522</v>
      </c>
    </row>
    <row r="14" spans="1:2">
      <c r="A14" s="10" t="s">
        <v>523</v>
      </c>
      <c r="B14" s="10" t="s">
        <v>524</v>
      </c>
    </row>
    <row r="15" spans="1:2">
      <c r="A15" s="10" t="s">
        <v>525</v>
      </c>
      <c r="B15" s="10" t="s">
        <v>526</v>
      </c>
    </row>
    <row r="16" spans="1:2">
      <c r="A16" s="10" t="s">
        <v>527</v>
      </c>
      <c r="B16" s="10" t="s">
        <v>528</v>
      </c>
    </row>
    <row r="17" spans="1:2">
      <c r="A17" s="10" t="s">
        <v>529</v>
      </c>
      <c r="B17" s="10" t="s">
        <v>530</v>
      </c>
    </row>
    <row r="18" spans="1:2">
      <c r="A18" s="10" t="s">
        <v>531</v>
      </c>
      <c r="B18" s="10" t="s">
        <v>532</v>
      </c>
    </row>
    <row r="19" spans="1:2">
      <c r="A19" s="10" t="s">
        <v>533</v>
      </c>
      <c r="B19" s="10" t="s">
        <v>534</v>
      </c>
    </row>
    <row r="20" spans="1:2">
      <c r="A20" s="10" t="s">
        <v>535</v>
      </c>
      <c r="B20" s="10" t="s">
        <v>536</v>
      </c>
    </row>
    <row r="21" spans="1:2">
      <c r="A21" s="10" t="s">
        <v>537</v>
      </c>
      <c r="B21" s="10" t="s">
        <v>538</v>
      </c>
    </row>
    <row r="22" spans="1:2">
      <c r="A22" s="10" t="s">
        <v>539</v>
      </c>
      <c r="B22" s="10" t="s">
        <v>540</v>
      </c>
    </row>
    <row r="23" spans="1:2">
      <c r="A23" s="10" t="s">
        <v>541</v>
      </c>
      <c r="B23" s="10" t="s">
        <v>542</v>
      </c>
    </row>
    <row r="24" spans="1:2">
      <c r="A24" s="10" t="s">
        <v>543</v>
      </c>
      <c r="B24" s="10" t="s">
        <v>544</v>
      </c>
    </row>
    <row r="25" spans="1:2">
      <c r="A25" s="10" t="s">
        <v>545</v>
      </c>
      <c r="B25" s="10" t="s">
        <v>546</v>
      </c>
    </row>
    <row r="26" spans="1:2">
      <c r="A26" s="10" t="s">
        <v>547</v>
      </c>
      <c r="B26" s="10" t="s">
        <v>548</v>
      </c>
    </row>
    <row r="27" spans="1:2">
      <c r="A27" s="10" t="s">
        <v>549</v>
      </c>
      <c r="B27" s="10" t="s">
        <v>550</v>
      </c>
    </row>
    <row r="28" spans="1:2">
      <c r="A28" s="10" t="s">
        <v>551</v>
      </c>
      <c r="B28" s="10" t="s">
        <v>552</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cols>
    <col min="1" max="1" width="13.28515625" customWidth="1"/>
    <col min="2" max="2" width="20.85546875" customWidth="1"/>
  </cols>
  <sheetData>
    <row r="1" spans="1:11">
      <c r="A1" s="11" t="s">
        <v>0</v>
      </c>
      <c r="B1" s="11" t="s">
        <v>553</v>
      </c>
      <c r="C1" s="11">
        <v>2</v>
      </c>
      <c r="D1" s="11">
        <v>3</v>
      </c>
      <c r="E1" s="11">
        <v>4</v>
      </c>
      <c r="F1" s="11">
        <v>5</v>
      </c>
      <c r="G1" s="11">
        <v>6</v>
      </c>
      <c r="H1" s="11">
        <v>7</v>
      </c>
      <c r="I1" s="11">
        <v>8</v>
      </c>
      <c r="J1" s="11">
        <v>9</v>
      </c>
      <c r="K1" s="11">
        <v>10</v>
      </c>
    </row>
    <row r="2" spans="1:11">
      <c r="A2" s="12" t="s">
        <v>13</v>
      </c>
      <c r="B2" s="12" t="str">
        <f t="array" ref="B2">INDEX(스킬데이터,MATCH($A2,스킬!$A$2:$A$33,0),4)</f>
        <v>여기 보세요!</v>
      </c>
      <c r="C2" s="13" t="s">
        <v>554</v>
      </c>
      <c r="D2" s="13" t="s">
        <v>554</v>
      </c>
      <c r="E2" s="13" t="s">
        <v>554</v>
      </c>
      <c r="F2" s="13" t="s">
        <v>554</v>
      </c>
      <c r="G2" s="13" t="s">
        <v>555</v>
      </c>
      <c r="H2" s="13" t="s">
        <v>555</v>
      </c>
      <c r="I2" s="13" t="s">
        <v>555</v>
      </c>
      <c r="J2" s="13" t="s">
        <v>555</v>
      </c>
      <c r="K2" s="13" t="s">
        <v>556</v>
      </c>
    </row>
    <row r="3" spans="1:11">
      <c r="A3" s="12" t="s">
        <v>13</v>
      </c>
      <c r="B3" s="12" t="str">
        <f t="array" ref="B3">INDEX(스킬데이터,MATCH($A3,스킬!$A$2:$A$33,0),9)</f>
        <v>이게 제 실력입니다</v>
      </c>
      <c r="C3" s="13" t="s">
        <v>554</v>
      </c>
      <c r="D3" s="13" t="s">
        <v>554</v>
      </c>
      <c r="E3" s="13" t="s">
        <v>555</v>
      </c>
      <c r="F3" s="13" t="s">
        <v>555</v>
      </c>
      <c r="G3" s="13" t="s">
        <v>557</v>
      </c>
      <c r="H3" s="13" t="s">
        <v>556</v>
      </c>
      <c r="I3" s="13" t="s">
        <v>556</v>
      </c>
      <c r="J3" s="13" t="s">
        <v>556</v>
      </c>
      <c r="K3" s="13" t="s">
        <v>557</v>
      </c>
    </row>
    <row r="4" spans="1:11">
      <c r="A4" s="12" t="s">
        <v>13</v>
      </c>
      <c r="B4" s="12" t="str">
        <f t="array" ref="B4">INDEX(스킬데이터,MATCH($A4,스킬!$A$2:$A$33,0),15)</f>
        <v>예상 범위를 벗어났어요!</v>
      </c>
      <c r="C4" s="13" t="s">
        <v>554</v>
      </c>
      <c r="D4" s="13" t="s">
        <v>555</v>
      </c>
      <c r="E4" s="13" t="s">
        <v>558</v>
      </c>
      <c r="F4" s="13" t="s">
        <v>555</v>
      </c>
      <c r="G4" s="13" t="s">
        <v>557</v>
      </c>
      <c r="H4" s="13" t="s">
        <v>555</v>
      </c>
      <c r="I4" s="13" t="s">
        <v>559</v>
      </c>
      <c r="J4" s="13" t="s">
        <v>556</v>
      </c>
      <c r="K4" s="13" t="s">
        <v>560</v>
      </c>
    </row>
    <row r="5" spans="1:11">
      <c r="A5" s="12" t="s">
        <v>23</v>
      </c>
      <c r="B5" s="12" t="str">
        <f t="array" ref="B5">INDEX(스킬데이터,MATCH($A5,스킬!$A$2:$A$33,0),4)</f>
        <v>풀잎 쇄도</v>
      </c>
      <c r="C5" s="13" t="s">
        <v>554</v>
      </c>
      <c r="D5" s="13" t="s">
        <v>554</v>
      </c>
      <c r="E5" s="13" t="s">
        <v>554</v>
      </c>
      <c r="F5" s="13" t="s">
        <v>554</v>
      </c>
      <c r="G5" s="13" t="s">
        <v>555</v>
      </c>
      <c r="H5" s="13" t="s">
        <v>555</v>
      </c>
      <c r="I5" s="13" t="s">
        <v>555</v>
      </c>
      <c r="J5" s="13" t="s">
        <v>555</v>
      </c>
      <c r="K5" s="13" t="s">
        <v>556</v>
      </c>
    </row>
    <row r="6" spans="1:11">
      <c r="A6" s="12" t="s">
        <v>23</v>
      </c>
      <c r="B6" s="12" t="str">
        <f t="array" ref="B6">INDEX(스킬데이터,MATCH($A6,스킬!$A$2:$A$33,0),9)</f>
        <v>급속 개화</v>
      </c>
      <c r="C6" s="13" t="s">
        <v>554</v>
      </c>
      <c r="D6" s="13" t="s">
        <v>554</v>
      </c>
      <c r="E6" s="13" t="s">
        <v>554</v>
      </c>
      <c r="F6" s="13" t="s">
        <v>554</v>
      </c>
      <c r="G6" s="13" t="s">
        <v>555</v>
      </c>
      <c r="H6" s="13" t="s">
        <v>555</v>
      </c>
      <c r="I6" s="13" t="s">
        <v>555</v>
      </c>
      <c r="J6" s="13" t="s">
        <v>555</v>
      </c>
      <c r="K6" s="13" t="s">
        <v>556</v>
      </c>
    </row>
    <row r="7" spans="1:11">
      <c r="A7" s="12" t="s">
        <v>23</v>
      </c>
      <c r="B7" s="12" t="str">
        <f t="array" ref="B7">INDEX(스킬데이터,MATCH($A7,스킬!$A$2:$A$33,0),15)</f>
        <v>자연의 힘</v>
      </c>
      <c r="C7" s="13" t="s">
        <v>554</v>
      </c>
      <c r="D7" s="13" t="s">
        <v>555</v>
      </c>
      <c r="E7" s="13" t="s">
        <v>558</v>
      </c>
      <c r="F7" s="13" t="s">
        <v>555</v>
      </c>
      <c r="G7" s="13" t="s">
        <v>557</v>
      </c>
      <c r="H7" s="13" t="s">
        <v>555</v>
      </c>
      <c r="I7" s="13" t="s">
        <v>559</v>
      </c>
      <c r="J7" s="13" t="s">
        <v>556</v>
      </c>
      <c r="K7" s="13" t="s">
        <v>560</v>
      </c>
    </row>
    <row r="8" spans="1:11">
      <c r="A8" s="12" t="s">
        <v>31</v>
      </c>
      <c r="B8" s="12" t="str">
        <f t="array" ref="B8">INDEX(스킬데이터,MATCH($A8,스킬!$A$2:$A$33,0),4)</f>
        <v>화룡생천</v>
      </c>
      <c r="C8" s="13" t="s">
        <v>554</v>
      </c>
      <c r="D8" s="13" t="s">
        <v>554</v>
      </c>
      <c r="E8" s="13" t="s">
        <v>554</v>
      </c>
      <c r="F8" s="13" t="s">
        <v>554</v>
      </c>
      <c r="G8" s="13" t="s">
        <v>555</v>
      </c>
      <c r="H8" s="13" t="s">
        <v>555</v>
      </c>
      <c r="I8" s="13" t="s">
        <v>555</v>
      </c>
      <c r="J8" s="13" t="s">
        <v>555</v>
      </c>
      <c r="K8" s="13" t="s">
        <v>556</v>
      </c>
    </row>
    <row r="9" spans="1:11">
      <c r="A9" s="12" t="s">
        <v>31</v>
      </c>
      <c r="B9" s="12" t="str">
        <f t="array" ref="B9">INDEX(스킬데이터,MATCH($A9,스킬!$A$2:$A$33,0),9)</f>
        <v>역류수옥</v>
      </c>
      <c r="C9" s="13" t="s">
        <v>554</v>
      </c>
      <c r="D9" s="13" t="s">
        <v>554</v>
      </c>
      <c r="E9" s="13" t="s">
        <v>554</v>
      </c>
      <c r="F9" s="13" t="s">
        <v>554</v>
      </c>
      <c r="G9" s="13" t="s">
        <v>555</v>
      </c>
      <c r="H9" s="13" t="s">
        <v>555</v>
      </c>
      <c r="I9" s="13" t="s">
        <v>555</v>
      </c>
      <c r="J9" s="13" t="s">
        <v>555</v>
      </c>
      <c r="K9" s="13" t="s">
        <v>556</v>
      </c>
    </row>
    <row r="10" spans="1:11">
      <c r="A10" s="12" t="s">
        <v>31</v>
      </c>
      <c r="B10" s="12" t="str">
        <f t="array" ref="B10">INDEX(스킬데이터,MATCH($A10,스킬!$A$2:$A$33,0),15)</f>
        <v>물과 불의 노래</v>
      </c>
      <c r="C10" s="13" t="s">
        <v>554</v>
      </c>
      <c r="D10" s="13" t="s">
        <v>554</v>
      </c>
      <c r="E10" s="13" t="s">
        <v>561</v>
      </c>
      <c r="F10" s="13" t="s">
        <v>554</v>
      </c>
      <c r="G10" s="13" t="s">
        <v>557</v>
      </c>
      <c r="H10" s="13" t="s">
        <v>555</v>
      </c>
      <c r="I10" s="13" t="s">
        <v>562</v>
      </c>
      <c r="J10" s="13" t="s">
        <v>555</v>
      </c>
      <c r="K10" s="13" t="s">
        <v>556</v>
      </c>
    </row>
    <row r="11" spans="1:11">
      <c r="A11" s="12" t="s">
        <v>38</v>
      </c>
      <c r="B11" s="12" t="str">
        <f t="array" ref="B11">INDEX(스킬데이터,MATCH($A11,스킬!$A$2:$A$33,0),4)</f>
        <v>제압부</v>
      </c>
      <c r="C11" s="13" t="s">
        <v>554</v>
      </c>
      <c r="D11" s="13" t="s">
        <v>554</v>
      </c>
      <c r="E11" s="13" t="s">
        <v>554</v>
      </c>
      <c r="F11" s="13" t="s">
        <v>554</v>
      </c>
      <c r="G11" s="13" t="s">
        <v>555</v>
      </c>
      <c r="H11" s="13" t="s">
        <v>555</v>
      </c>
      <c r="I11" s="13" t="s">
        <v>555</v>
      </c>
      <c r="J11" s="13" t="s">
        <v>555</v>
      </c>
      <c r="K11" s="13" t="s">
        <v>556</v>
      </c>
    </row>
    <row r="12" spans="1:11">
      <c r="A12" s="12" t="s">
        <v>38</v>
      </c>
      <c r="B12" s="12" t="str">
        <f t="array" ref="B12">INDEX(스킬데이터,MATCH($A12,스킬!$A$2:$A$33,0),9)</f>
        <v>설중사우</v>
      </c>
      <c r="C12" s="13" t="s">
        <v>554</v>
      </c>
      <c r="D12" s="13" t="s">
        <v>555</v>
      </c>
      <c r="E12" s="13" t="s">
        <v>563</v>
      </c>
      <c r="F12" s="13" t="s">
        <v>555</v>
      </c>
      <c r="G12" s="13" t="s">
        <v>557</v>
      </c>
      <c r="H12" s="13" t="s">
        <v>555</v>
      </c>
      <c r="I12" s="13" t="s">
        <v>564</v>
      </c>
      <c r="J12" s="13" t="s">
        <v>556</v>
      </c>
      <c r="K12" s="13" t="s">
        <v>560</v>
      </c>
    </row>
    <row r="13" spans="1:11">
      <c r="A13" s="12" t="s">
        <v>38</v>
      </c>
      <c r="B13" s="12" t="str">
        <f t="array" ref="B13">INDEX(스킬데이터,MATCH($A13,스킬!$A$2:$A$33,0),15)</f>
        <v>천도불용, 악즉참</v>
      </c>
      <c r="C13" s="13" t="s">
        <v>554</v>
      </c>
      <c r="D13" s="13" t="s">
        <v>555</v>
      </c>
      <c r="E13" s="13" t="s">
        <v>565</v>
      </c>
      <c r="F13" s="13" t="s">
        <v>555</v>
      </c>
      <c r="G13" s="13" t="s">
        <v>557</v>
      </c>
      <c r="H13" s="13" t="s">
        <v>555</v>
      </c>
      <c r="I13" s="13" t="s">
        <v>566</v>
      </c>
      <c r="J13" s="13" t="s">
        <v>556</v>
      </c>
      <c r="K13" s="13" t="s">
        <v>560</v>
      </c>
    </row>
    <row r="14" spans="1:11">
      <c r="A14" s="12" t="s">
        <v>44</v>
      </c>
      <c r="B14" s="12" t="str">
        <f t="array" ref="B14">INDEX(스킬데이터,MATCH($A14,스킬!$A$2:$A$33,0),4)</f>
        <v>호신용 마력탄</v>
      </c>
      <c r="C14" s="13" t="s">
        <v>554</v>
      </c>
      <c r="D14" s="13" t="s">
        <v>554</v>
      </c>
      <c r="E14" s="13" t="s">
        <v>554</v>
      </c>
      <c r="F14" s="13" t="s">
        <v>554</v>
      </c>
      <c r="G14" s="13" t="s">
        <v>555</v>
      </c>
      <c r="H14" s="13" t="s">
        <v>555</v>
      </c>
      <c r="I14" s="13" t="s">
        <v>555</v>
      </c>
      <c r="J14" s="13" t="s">
        <v>555</v>
      </c>
      <c r="K14" s="13" t="s">
        <v>556</v>
      </c>
    </row>
    <row r="15" spans="1:11">
      <c r="A15" s="12" t="s">
        <v>44</v>
      </c>
      <c r="B15" s="12" t="str">
        <f t="array" ref="B15">INDEX(스킬데이터,MATCH($A15,스킬!$A$2:$A$33,0),9)</f>
        <v>헤카테의 불씨</v>
      </c>
      <c r="C15" s="13" t="s">
        <v>554</v>
      </c>
      <c r="D15" s="13" t="s">
        <v>554</v>
      </c>
      <c r="E15" s="13" t="s">
        <v>555</v>
      </c>
      <c r="F15" s="13" t="s">
        <v>555</v>
      </c>
      <c r="G15" s="13" t="s">
        <v>557</v>
      </c>
      <c r="H15" s="13" t="s">
        <v>556</v>
      </c>
      <c r="I15" s="13" t="s">
        <v>556</v>
      </c>
      <c r="J15" s="13" t="s">
        <v>556</v>
      </c>
      <c r="K15" s="13" t="s">
        <v>557</v>
      </c>
    </row>
    <row r="16" spans="1:11">
      <c r="A16" s="12" t="s">
        <v>44</v>
      </c>
      <c r="B16" s="12" t="str">
        <f t="array" ref="B16">INDEX(스킬데이터,MATCH($A16,스킬!$A$2:$A$33,0),15)</f>
        <v>내 눈에 비친 세계</v>
      </c>
      <c r="C16" s="13" t="s">
        <v>554</v>
      </c>
      <c r="D16" s="13" t="s">
        <v>555</v>
      </c>
      <c r="E16" s="13" t="s">
        <v>567</v>
      </c>
      <c r="F16" s="13" t="s">
        <v>555</v>
      </c>
      <c r="G16" s="13" t="s">
        <v>557</v>
      </c>
      <c r="H16" s="13" t="s">
        <v>555</v>
      </c>
      <c r="I16" s="13" t="s">
        <v>568</v>
      </c>
      <c r="J16" s="13" t="s">
        <v>556</v>
      </c>
      <c r="K16" s="13" t="s">
        <v>560</v>
      </c>
    </row>
    <row r="17" spans="1:11">
      <c r="A17" s="12" t="s">
        <v>51</v>
      </c>
      <c r="B17" s="12" t="str">
        <f t="array" ref="B17">INDEX(스킬데이터,MATCH($A17,스킬!$A$2:$A$33,0),4)</f>
        <v>공허의 손길</v>
      </c>
      <c r="C17" s="13" t="s">
        <v>554</v>
      </c>
      <c r="D17" s="13" t="s">
        <v>554</v>
      </c>
      <c r="E17" s="13" t="s">
        <v>554</v>
      </c>
      <c r="F17" s="13" t="s">
        <v>554</v>
      </c>
      <c r="G17" s="13" t="s">
        <v>554</v>
      </c>
      <c r="H17" s="13" t="s">
        <v>554</v>
      </c>
      <c r="I17" s="13" t="s">
        <v>554</v>
      </c>
      <c r="J17" s="13" t="s">
        <v>554</v>
      </c>
      <c r="K17" s="13" t="s">
        <v>555</v>
      </c>
    </row>
    <row r="18" spans="1:11">
      <c r="A18" s="12" t="s">
        <v>51</v>
      </c>
      <c r="B18" s="12" t="str">
        <f t="array" ref="B18">INDEX(스킬데이터,MATCH($A18,스킬!$A$2:$A$33,0),9)</f>
        <v>별자리 너머의 초대</v>
      </c>
      <c r="C18" s="13" t="s">
        <v>554</v>
      </c>
      <c r="D18" s="13" t="s">
        <v>554</v>
      </c>
      <c r="E18" s="13" t="s">
        <v>554</v>
      </c>
      <c r="F18" s="13" t="s">
        <v>554</v>
      </c>
      <c r="G18" s="13" t="s">
        <v>569</v>
      </c>
      <c r="H18" s="13" t="s">
        <v>555</v>
      </c>
      <c r="I18" s="13" t="s">
        <v>555</v>
      </c>
      <c r="J18" s="13" t="s">
        <v>555</v>
      </c>
      <c r="K18" s="13" t="s">
        <v>570</v>
      </c>
    </row>
    <row r="19" spans="1:11">
      <c r="A19" s="12" t="s">
        <v>51</v>
      </c>
      <c r="B19" s="12" t="str">
        <f t="array" ref="B19">INDEX(스킬데이터,MATCH($A19,스킬!$A$2:$A$33,0),15)</f>
        <v>서책의 공허간</v>
      </c>
      <c r="C19" s="13" t="s">
        <v>554</v>
      </c>
      <c r="D19" s="13" t="s">
        <v>554</v>
      </c>
      <c r="E19" s="13" t="s">
        <v>558</v>
      </c>
      <c r="F19" s="13" t="s">
        <v>554</v>
      </c>
      <c r="G19" s="13" t="s">
        <v>557</v>
      </c>
      <c r="H19" s="13" t="s">
        <v>555</v>
      </c>
      <c r="I19" s="13" t="s">
        <v>559</v>
      </c>
      <c r="J19" s="13" t="s">
        <v>555</v>
      </c>
      <c r="K19" s="13" t="s">
        <v>556</v>
      </c>
    </row>
    <row r="20" spans="1:11">
      <c r="A20" s="12" t="s">
        <v>57</v>
      </c>
      <c r="B20" s="12" t="str">
        <f t="array" ref="B20">INDEX(스킬데이터,MATCH($A20,스킬!$A$2:$A$33,0),4)</f>
        <v>혼란 속 일격</v>
      </c>
      <c r="C20" s="13" t="s">
        <v>554</v>
      </c>
      <c r="D20" s="13" t="s">
        <v>554</v>
      </c>
      <c r="E20" s="13" t="s">
        <v>554</v>
      </c>
      <c r="F20" s="13" t="s">
        <v>554</v>
      </c>
      <c r="G20" s="13" t="s">
        <v>555</v>
      </c>
      <c r="H20" s="13" t="s">
        <v>555</v>
      </c>
      <c r="I20" s="13" t="s">
        <v>555</v>
      </c>
      <c r="J20" s="13" t="s">
        <v>555</v>
      </c>
      <c r="K20" s="13" t="s">
        <v>556</v>
      </c>
    </row>
    <row r="21" spans="1:11">
      <c r="A21" s="12" t="s">
        <v>57</v>
      </c>
      <c r="B21" s="12" t="str">
        <f t="array" ref="B21">INDEX(스킬데이터,MATCH($A21,스킬!$A$2:$A$33,0),9)</f>
        <v>릴리의 소중한 시간</v>
      </c>
      <c r="C21" s="13" t="s">
        <v>571</v>
      </c>
      <c r="D21" s="13" t="s">
        <v>571</v>
      </c>
      <c r="E21" s="13" t="s">
        <v>571</v>
      </c>
      <c r="F21" s="13" t="s">
        <v>572</v>
      </c>
      <c r="G21" s="13" t="s">
        <v>557</v>
      </c>
      <c r="H21" s="13" t="s">
        <v>572</v>
      </c>
      <c r="I21" s="13" t="s">
        <v>572</v>
      </c>
      <c r="J21" s="13" t="s">
        <v>573</v>
      </c>
      <c r="K21" s="13" t="s">
        <v>557</v>
      </c>
    </row>
    <row r="22" spans="1:11">
      <c r="A22" s="12" t="s">
        <v>57</v>
      </c>
      <c r="B22" s="12" t="str">
        <f t="array" ref="B22">INDEX(스킬데이터,MATCH($A22,스킬!$A$2:$A$33,0),15)</f>
        <v>토끼 씨의 즉결 심판</v>
      </c>
      <c r="C22" s="13" t="s">
        <v>555</v>
      </c>
      <c r="D22" s="13" t="s">
        <v>555</v>
      </c>
      <c r="E22" s="13" t="s">
        <v>555</v>
      </c>
      <c r="F22" s="13" t="s">
        <v>556</v>
      </c>
      <c r="G22" s="13" t="s">
        <v>557</v>
      </c>
      <c r="H22" s="13" t="s">
        <v>556</v>
      </c>
      <c r="I22" s="13" t="s">
        <v>556</v>
      </c>
      <c r="J22" s="13" t="s">
        <v>560</v>
      </c>
      <c r="K22" s="13" t="s">
        <v>557</v>
      </c>
    </row>
    <row r="23" spans="1:11">
      <c r="A23" s="12" t="s">
        <v>62</v>
      </c>
      <c r="B23" s="12" t="str">
        <f t="array" ref="B23">INDEX(스킬데이터,MATCH($A23,스킬!$A$2:$A$33,0),4)</f>
        <v>너트 돌리기</v>
      </c>
      <c r="C23" s="13" t="s">
        <v>554</v>
      </c>
      <c r="D23" s="13" t="s">
        <v>554</v>
      </c>
      <c r="E23" s="13" t="s">
        <v>554</v>
      </c>
      <c r="F23" s="13" t="s">
        <v>554</v>
      </c>
      <c r="G23" s="13" t="s">
        <v>555</v>
      </c>
      <c r="H23" s="13" t="s">
        <v>555</v>
      </c>
      <c r="I23" s="13" t="s">
        <v>555</v>
      </c>
      <c r="J23" s="13" t="s">
        <v>555</v>
      </c>
      <c r="K23" s="13" t="s">
        <v>556</v>
      </c>
    </row>
    <row r="24" spans="1:11">
      <c r="A24" s="12" t="s">
        <v>62</v>
      </c>
      <c r="B24" s="12" t="str">
        <f t="array" ref="B24">INDEX(스킬데이터,MATCH($A24,스킬!$A$2:$A$33,0),9)</f>
        <v>대못 박기</v>
      </c>
      <c r="C24" s="13" t="s">
        <v>554</v>
      </c>
      <c r="D24" s="13" t="s">
        <v>554</v>
      </c>
      <c r="E24" s="13" t="s">
        <v>555</v>
      </c>
      <c r="F24" s="13" t="s">
        <v>555</v>
      </c>
      <c r="G24" s="13" t="s">
        <v>557</v>
      </c>
      <c r="H24" s="13" t="s">
        <v>556</v>
      </c>
      <c r="I24" s="13" t="s">
        <v>556</v>
      </c>
      <c r="J24" s="13" t="s">
        <v>556</v>
      </c>
      <c r="K24" s="13" t="s">
        <v>557</v>
      </c>
    </row>
    <row r="25" spans="1:11">
      <c r="A25" s="12" t="s">
        <v>62</v>
      </c>
      <c r="B25" s="12" t="str">
        <f t="array" ref="B25">INDEX(스킬데이터,MATCH($A25,스킬!$A$2:$A$33,0),15)</f>
        <v>나사 부수기</v>
      </c>
      <c r="C25" s="13" t="s">
        <v>554</v>
      </c>
      <c r="D25" s="13" t="s">
        <v>554</v>
      </c>
      <c r="E25" s="13" t="s">
        <v>555</v>
      </c>
      <c r="F25" s="13" t="s">
        <v>555</v>
      </c>
      <c r="G25" s="13" t="s">
        <v>557</v>
      </c>
      <c r="H25" s="13" t="s">
        <v>556</v>
      </c>
      <c r="I25" s="13" t="s">
        <v>556</v>
      </c>
      <c r="J25" s="13" t="s">
        <v>556</v>
      </c>
      <c r="K25" s="13" t="s">
        <v>557</v>
      </c>
    </row>
    <row r="26" spans="1:11">
      <c r="A26" s="12" t="s">
        <v>71</v>
      </c>
      <c r="B26" s="12" t="str">
        <f t="array" ref="B26">INDEX(스킬데이터,MATCH($A26,스킬!$A$2:$A$33,0),4)</f>
        <v>신의 불꽃</v>
      </c>
      <c r="C26" s="13" t="s">
        <v>554</v>
      </c>
      <c r="D26" s="13" t="s">
        <v>554</v>
      </c>
      <c r="E26" s="13" t="s">
        <v>554</v>
      </c>
      <c r="F26" s="13" t="s">
        <v>554</v>
      </c>
      <c r="G26" s="13" t="s">
        <v>555</v>
      </c>
      <c r="H26" s="13" t="s">
        <v>555</v>
      </c>
      <c r="I26" s="13" t="s">
        <v>555</v>
      </c>
      <c r="J26" s="13" t="s">
        <v>555</v>
      </c>
      <c r="K26" s="13" t="s">
        <v>556</v>
      </c>
    </row>
    <row r="27" spans="1:11">
      <c r="A27" s="12" t="s">
        <v>71</v>
      </c>
      <c r="B27" s="12" t="str">
        <f t="array" ref="B27">INDEX(스킬데이터,MATCH($A27,스킬!$A$2:$A$33,0),9)</f>
        <v>성수 폭격</v>
      </c>
      <c r="C27" s="13" t="s">
        <v>554</v>
      </c>
      <c r="D27" s="13" t="s">
        <v>555</v>
      </c>
      <c r="E27" s="13" t="s">
        <v>574</v>
      </c>
      <c r="F27" s="13" t="s">
        <v>555</v>
      </c>
      <c r="G27" s="13" t="s">
        <v>557</v>
      </c>
      <c r="H27" s="13" t="s">
        <v>555</v>
      </c>
      <c r="I27" s="13" t="s">
        <v>575</v>
      </c>
      <c r="J27" s="13" t="s">
        <v>556</v>
      </c>
      <c r="K27" s="13" t="s">
        <v>560</v>
      </c>
    </row>
    <row r="28" spans="1:11">
      <c r="A28" s="12" t="s">
        <v>71</v>
      </c>
      <c r="B28" s="12" t="str">
        <f t="array" ref="B28">INDEX(스킬데이터,MATCH($A28,스킬!$A$2:$A$33,0),15)</f>
        <v>이제 착하게 살게요</v>
      </c>
      <c r="C28" s="14" t="s">
        <v>554</v>
      </c>
      <c r="D28" s="14" t="s">
        <v>555</v>
      </c>
      <c r="E28" s="15" t="s">
        <v>576</v>
      </c>
      <c r="F28" s="14" t="s">
        <v>555</v>
      </c>
      <c r="G28" s="14" t="s">
        <v>557</v>
      </c>
      <c r="H28" s="14" t="s">
        <v>555</v>
      </c>
      <c r="I28" s="15" t="s">
        <v>577</v>
      </c>
      <c r="J28" s="14" t="s">
        <v>556</v>
      </c>
      <c r="K28" s="14" t="s">
        <v>560</v>
      </c>
    </row>
    <row r="29" spans="1:11">
      <c r="A29" s="12" t="s">
        <v>76</v>
      </c>
      <c r="B29" s="12" t="str">
        <f t="array" ref="B29">INDEX(스킬데이터,MATCH($A29,스킬!$A$2:$A$33,0),4)</f>
        <v>적절한 대응</v>
      </c>
      <c r="C29" s="13" t="s">
        <v>554</v>
      </c>
      <c r="D29" s="13" t="s">
        <v>554</v>
      </c>
      <c r="E29" s="13" t="s">
        <v>554</v>
      </c>
      <c r="F29" s="13" t="s">
        <v>554</v>
      </c>
      <c r="G29" s="13" t="s">
        <v>554</v>
      </c>
      <c r="H29" s="13" t="s">
        <v>554</v>
      </c>
      <c r="I29" s="13" t="s">
        <v>554</v>
      </c>
      <c r="J29" s="13" t="s">
        <v>554</v>
      </c>
      <c r="K29" s="13" t="s">
        <v>555</v>
      </c>
    </row>
    <row r="30" spans="1:11">
      <c r="A30" s="12" t="s">
        <v>76</v>
      </c>
      <c r="B30" s="12" t="str">
        <f t="array" ref="B30">INDEX(스킬데이터,MATCH($A30,스킬!$A$2:$A$33,0),9)</f>
        <v>신속하고 안전한 배송</v>
      </c>
      <c r="C30" s="13" t="s">
        <v>578</v>
      </c>
      <c r="D30" s="13" t="s">
        <v>578</v>
      </c>
      <c r="E30" s="13" t="s">
        <v>579</v>
      </c>
      <c r="F30" s="13" t="s">
        <v>579</v>
      </c>
      <c r="G30" s="14" t="s">
        <v>557</v>
      </c>
      <c r="H30" s="13" t="s">
        <v>580</v>
      </c>
      <c r="I30" s="13" t="s">
        <v>580</v>
      </c>
      <c r="J30" s="13" t="s">
        <v>580</v>
      </c>
      <c r="K30" s="14" t="s">
        <v>557</v>
      </c>
    </row>
    <row r="31" spans="1:11">
      <c r="A31" s="12" t="s">
        <v>76</v>
      </c>
      <c r="B31" s="12" t="str">
        <f t="array" ref="B31">INDEX(스킬데이터,MATCH($A31,스킬!$A$2:$A$33,0),15)</f>
        <v>꿈을 향한 한 걸음</v>
      </c>
      <c r="C31" s="13" t="s">
        <v>578</v>
      </c>
      <c r="D31" s="13" t="s">
        <v>578</v>
      </c>
      <c r="E31" s="13" t="s">
        <v>579</v>
      </c>
      <c r="F31" s="13" t="s">
        <v>579</v>
      </c>
      <c r="G31" s="14" t="s">
        <v>557</v>
      </c>
      <c r="H31" s="13" t="s">
        <v>580</v>
      </c>
      <c r="I31" s="13" t="s">
        <v>580</v>
      </c>
      <c r="J31" s="13" t="s">
        <v>580</v>
      </c>
      <c r="K31" s="14" t="s">
        <v>557</v>
      </c>
    </row>
    <row r="32" spans="1:11">
      <c r="A32" s="12" t="s">
        <v>82</v>
      </c>
      <c r="B32" s="12" t="str">
        <f t="array" ref="B32">INDEX(스킬데이터,MATCH($A32,스킬!$A$2:$A$33,0),4)</f>
        <v>흔들림 없는 창</v>
      </c>
      <c r="C32" s="13" t="s">
        <v>554</v>
      </c>
      <c r="D32" s="13" t="s">
        <v>554</v>
      </c>
      <c r="E32" s="13" t="s">
        <v>554</v>
      </c>
      <c r="F32" s="13" t="s">
        <v>554</v>
      </c>
      <c r="G32" s="13" t="s">
        <v>554</v>
      </c>
      <c r="H32" s="13" t="s">
        <v>554</v>
      </c>
      <c r="I32" s="13" t="s">
        <v>554</v>
      </c>
      <c r="J32" s="13" t="s">
        <v>554</v>
      </c>
      <c r="K32" s="13" t="s">
        <v>555</v>
      </c>
    </row>
    <row r="33" spans="1:11">
      <c r="A33" s="12" t="s">
        <v>82</v>
      </c>
      <c r="B33" s="12" t="str">
        <f t="array" ref="B33">INDEX(스킬데이터,MATCH($A33,스킬!$A$2:$A$33,0),9)</f>
        <v>격퇴</v>
      </c>
      <c r="C33" s="13" t="s">
        <v>554</v>
      </c>
      <c r="D33" s="13" t="s">
        <v>554</v>
      </c>
      <c r="E33" s="13" t="s">
        <v>554</v>
      </c>
      <c r="F33" s="13" t="s">
        <v>554</v>
      </c>
      <c r="G33" s="14" t="s">
        <v>557</v>
      </c>
      <c r="H33" s="13" t="s">
        <v>555</v>
      </c>
      <c r="I33" s="13" t="s">
        <v>555</v>
      </c>
      <c r="J33" s="13" t="s">
        <v>555</v>
      </c>
      <c r="K33" s="14" t="s">
        <v>557</v>
      </c>
    </row>
    <row r="34" spans="1:11">
      <c r="A34" s="12" t="s">
        <v>82</v>
      </c>
      <c r="B34" s="12" t="str">
        <f t="array" ref="B34">INDEX(스킬데이터,MATCH($A34,스킬!$A$2:$A$33,0),15)</f>
        <v>거침없는 돌격</v>
      </c>
      <c r="C34" s="13" t="s">
        <v>554</v>
      </c>
      <c r="D34" s="13" t="s">
        <v>554</v>
      </c>
      <c r="E34" s="13" t="s">
        <v>554</v>
      </c>
      <c r="F34" s="13" t="s">
        <v>554</v>
      </c>
      <c r="G34" s="14" t="s">
        <v>557</v>
      </c>
      <c r="H34" s="13" t="s">
        <v>555</v>
      </c>
      <c r="I34" s="13" t="s">
        <v>555</v>
      </c>
      <c r="J34" s="13" t="s">
        <v>555</v>
      </c>
      <c r="K34" s="14" t="s">
        <v>557</v>
      </c>
    </row>
    <row r="35" spans="1:11">
      <c r="A35" s="12" t="s">
        <v>87</v>
      </c>
      <c r="B35" s="12" t="str">
        <f t="array" ref="B35">INDEX(스킬데이터,MATCH($A35,스킬!$A$2:$A$33,0),4)</f>
        <v>정직한 찌르기</v>
      </c>
      <c r="C35" s="13" t="s">
        <v>554</v>
      </c>
      <c r="D35" s="13" t="s">
        <v>554</v>
      </c>
      <c r="E35" s="13" t="s">
        <v>554</v>
      </c>
      <c r="F35" s="13" t="s">
        <v>555</v>
      </c>
      <c r="G35" s="13" t="s">
        <v>555</v>
      </c>
      <c r="H35" s="13" t="s">
        <v>555</v>
      </c>
      <c r="I35" s="13" t="s">
        <v>555</v>
      </c>
      <c r="J35" s="13" t="s">
        <v>556</v>
      </c>
      <c r="K35" s="14" t="s">
        <v>560</v>
      </c>
    </row>
    <row r="36" spans="1:11">
      <c r="A36" s="12" t="s">
        <v>87</v>
      </c>
      <c r="B36" s="12" t="str">
        <f t="array" ref="B36">INDEX(스킬데이터,MATCH($A36,스킬!$A$2:$A$33,0),9)</f>
        <v>승리의 다짐</v>
      </c>
      <c r="C36" s="13" t="s">
        <v>581</v>
      </c>
      <c r="D36" s="13" t="s">
        <v>581</v>
      </c>
      <c r="E36" s="13" t="s">
        <v>582</v>
      </c>
      <c r="F36" s="13" t="s">
        <v>582</v>
      </c>
      <c r="G36" s="14" t="s">
        <v>557</v>
      </c>
      <c r="H36" s="13" t="s">
        <v>583</v>
      </c>
      <c r="I36" s="13" t="s">
        <v>583</v>
      </c>
      <c r="J36" s="13" t="s">
        <v>583</v>
      </c>
      <c r="K36" s="14" t="s">
        <v>557</v>
      </c>
    </row>
    <row r="37" spans="1:11">
      <c r="A37" s="12" t="s">
        <v>87</v>
      </c>
      <c r="B37" s="12" t="str">
        <f t="array" ref="B37">INDEX(스킬데이터,MATCH($A37,스킬!$A$2:$A$33,0),15)</f>
        <v>꺾이지 않는 일격</v>
      </c>
      <c r="C37" s="13" t="s">
        <v>554</v>
      </c>
      <c r="D37" s="13" t="s">
        <v>554</v>
      </c>
      <c r="E37" s="13" t="s">
        <v>554</v>
      </c>
      <c r="F37" s="13" t="s">
        <v>554</v>
      </c>
      <c r="G37" s="14" t="s">
        <v>557</v>
      </c>
      <c r="H37" s="13" t="s">
        <v>555</v>
      </c>
      <c r="I37" s="13" t="s">
        <v>555</v>
      </c>
      <c r="J37" s="13" t="s">
        <v>555</v>
      </c>
      <c r="K37" s="13" t="s">
        <v>584</v>
      </c>
    </row>
    <row r="38" spans="1:11">
      <c r="A38" s="12" t="s">
        <v>95</v>
      </c>
      <c r="B38" s="12" t="str">
        <f t="array" ref="B38">INDEX(스킬데이터,MATCH($A38,스킬!$A$2:$A$33,0),4)</f>
        <v>너로 정했다.</v>
      </c>
      <c r="C38" s="13" t="s">
        <v>554</v>
      </c>
      <c r="D38" s="13" t="s">
        <v>554</v>
      </c>
      <c r="E38" s="13" t="s">
        <v>554</v>
      </c>
      <c r="F38" s="13" t="s">
        <v>554</v>
      </c>
      <c r="G38" s="13" t="s">
        <v>554</v>
      </c>
      <c r="H38" s="13" t="s">
        <v>554</v>
      </c>
      <c r="I38" s="13" t="s">
        <v>554</v>
      </c>
      <c r="J38" s="13" t="s">
        <v>554</v>
      </c>
      <c r="K38" s="13" t="s">
        <v>555</v>
      </c>
    </row>
    <row r="39" spans="1:11">
      <c r="A39" s="12" t="s">
        <v>95</v>
      </c>
      <c r="B39" s="12" t="str">
        <f t="array" ref="B39">INDEX(스킬데이터,MATCH($A39,스킬!$A$2:$A$33,0),9)</f>
        <v>너만 믿을게</v>
      </c>
      <c r="C39" s="13" t="s">
        <v>578</v>
      </c>
      <c r="D39" s="13" t="s">
        <v>578</v>
      </c>
      <c r="E39" s="13" t="s">
        <v>579</v>
      </c>
      <c r="F39" s="13" t="s">
        <v>580</v>
      </c>
      <c r="G39" s="13" t="s">
        <v>580</v>
      </c>
      <c r="H39" s="13" t="s">
        <v>585</v>
      </c>
      <c r="I39" s="13" t="s">
        <v>585</v>
      </c>
      <c r="J39" s="13" t="s">
        <v>585</v>
      </c>
      <c r="K39" s="13" t="s">
        <v>585</v>
      </c>
    </row>
    <row r="40" spans="1:11">
      <c r="A40" s="12" t="s">
        <v>95</v>
      </c>
      <c r="B40" s="12" t="str">
        <f t="array" ref="B40">INDEX(스킬데이터,MATCH($A40,스킬!$A$2:$A$33,0),15)</f>
        <v>보여주자, 토토!</v>
      </c>
      <c r="C40" s="13" t="s">
        <v>578</v>
      </c>
      <c r="D40" s="13" t="s">
        <v>578</v>
      </c>
      <c r="E40" s="13" t="s">
        <v>578</v>
      </c>
      <c r="F40" s="13" t="s">
        <v>578</v>
      </c>
      <c r="G40" s="13" t="s">
        <v>578</v>
      </c>
      <c r="H40" s="13" t="s">
        <v>578</v>
      </c>
      <c r="I40" s="13" t="s">
        <v>578</v>
      </c>
      <c r="J40" s="13" t="s">
        <v>578</v>
      </c>
      <c r="K40" s="13" t="s">
        <v>579</v>
      </c>
    </row>
    <row r="41" spans="1:11">
      <c r="A41" s="12" t="s">
        <v>100</v>
      </c>
      <c r="B41" s="12" t="str">
        <f t="array" ref="B41">INDEX(스킬데이터,MATCH($A41,스킬!$A$2:$A$33,0),4)</f>
        <v>덧없는 꿈</v>
      </c>
      <c r="C41" s="13" t="s">
        <v>554</v>
      </c>
      <c r="D41" s="13" t="s">
        <v>554</v>
      </c>
      <c r="E41" s="13" t="s">
        <v>554</v>
      </c>
      <c r="F41" s="13" t="s">
        <v>554</v>
      </c>
      <c r="G41" s="13" t="s">
        <v>555</v>
      </c>
      <c r="H41" s="13" t="s">
        <v>555</v>
      </c>
      <c r="I41" s="13" t="s">
        <v>555</v>
      </c>
      <c r="J41" s="13" t="s">
        <v>555</v>
      </c>
      <c r="K41" s="13" t="s">
        <v>556</v>
      </c>
    </row>
    <row r="42" spans="1:11">
      <c r="A42" s="12" t="s">
        <v>100</v>
      </c>
      <c r="B42" s="12" t="str">
        <f t="array" ref="B42">INDEX(스킬데이터,MATCH($A42,스킬!$A$2:$A$33,0),9)</f>
        <v>별나비 무리</v>
      </c>
      <c r="C42" s="13" t="s">
        <v>586</v>
      </c>
      <c r="D42" s="13" t="s">
        <v>586</v>
      </c>
      <c r="E42" s="13" t="s">
        <v>587</v>
      </c>
      <c r="F42" s="13" t="s">
        <v>587</v>
      </c>
      <c r="G42" s="14" t="s">
        <v>557</v>
      </c>
      <c r="H42" s="13" t="s">
        <v>588</v>
      </c>
      <c r="I42" s="13" t="s">
        <v>588</v>
      </c>
      <c r="J42" s="13" t="s">
        <v>588</v>
      </c>
      <c r="K42" s="14" t="s">
        <v>557</v>
      </c>
    </row>
    <row r="43" spans="1:11">
      <c r="A43" s="12" t="s">
        <v>100</v>
      </c>
      <c r="B43" s="12" t="str">
        <f t="array" ref="B43">INDEX(스킬데이터,MATCH($A43,스킬!$A$2:$A$33,0),15)</f>
        <v>환몽으로의 초대</v>
      </c>
      <c r="C43" s="13" t="s">
        <v>554</v>
      </c>
      <c r="D43" s="13" t="s">
        <v>554</v>
      </c>
      <c r="E43" s="13" t="s">
        <v>554</v>
      </c>
      <c r="F43" s="13" t="s">
        <v>555</v>
      </c>
      <c r="G43" s="13" t="s">
        <v>555</v>
      </c>
      <c r="H43" s="13" t="s">
        <v>555</v>
      </c>
      <c r="I43" s="13" t="s">
        <v>556</v>
      </c>
      <c r="J43" s="13" t="s">
        <v>556</v>
      </c>
      <c r="K43" s="14" t="s">
        <v>560</v>
      </c>
    </row>
    <row r="44" spans="1:11">
      <c r="A44" s="12" t="s">
        <v>105</v>
      </c>
      <c r="B44" s="12" t="str">
        <f t="array" ref="B44">INDEX(스킬데이터,MATCH($A44,스킬!$A$2:$A$33,0),4)</f>
        <v>사격 좌표 확인</v>
      </c>
      <c r="C44" s="13" t="s">
        <v>554</v>
      </c>
      <c r="D44" s="13" t="s">
        <v>554</v>
      </c>
      <c r="E44" s="13" t="s">
        <v>554</v>
      </c>
      <c r="F44" s="13" t="s">
        <v>554</v>
      </c>
      <c r="G44" s="13" t="s">
        <v>555</v>
      </c>
      <c r="H44" s="13" t="s">
        <v>555</v>
      </c>
      <c r="I44" s="13" t="s">
        <v>555</v>
      </c>
      <c r="J44" s="13" t="s">
        <v>555</v>
      </c>
      <c r="K44" s="13" t="s">
        <v>556</v>
      </c>
    </row>
    <row r="45" spans="1:11">
      <c r="A45" s="12" t="s">
        <v>105</v>
      </c>
      <c r="B45" s="12" t="str">
        <f t="array" ref="B45">INDEX(스킬데이터,MATCH($A45,스킬!$A$2:$A$33,0),9)</f>
        <v>고양이 탭댄스</v>
      </c>
      <c r="C45" s="13" t="s">
        <v>554</v>
      </c>
      <c r="D45" s="13" t="s">
        <v>554</v>
      </c>
      <c r="E45" s="13" t="s">
        <v>555</v>
      </c>
      <c r="F45" s="13" t="s">
        <v>555</v>
      </c>
      <c r="G45" s="13" t="s">
        <v>589</v>
      </c>
      <c r="H45" s="13" t="s">
        <v>556</v>
      </c>
      <c r="I45" s="13" t="s">
        <v>556</v>
      </c>
      <c r="J45" s="13" t="s">
        <v>556</v>
      </c>
      <c r="K45" s="13" t="s">
        <v>590</v>
      </c>
    </row>
    <row r="46" spans="1:11">
      <c r="A46" s="12" t="s">
        <v>105</v>
      </c>
      <c r="B46" s="12" t="str">
        <f t="array" ref="B46">INDEX(스킬데이터,MATCH($A46,스킬!$A$2:$A$33,0),15)</f>
        <v>전대원, 일제 사격!</v>
      </c>
      <c r="C46" s="13" t="s">
        <v>554</v>
      </c>
      <c r="D46" s="13" t="s">
        <v>554</v>
      </c>
      <c r="E46" s="13" t="s">
        <v>555</v>
      </c>
      <c r="F46" s="13" t="s">
        <v>555</v>
      </c>
      <c r="G46" s="14" t="s">
        <v>557</v>
      </c>
      <c r="H46" s="13" t="s">
        <v>556</v>
      </c>
      <c r="I46" s="13" t="s">
        <v>556</v>
      </c>
      <c r="J46" s="13" t="s">
        <v>556</v>
      </c>
      <c r="K46" s="14" t="s">
        <v>557</v>
      </c>
    </row>
    <row r="47" spans="1:11">
      <c r="A47" s="12" t="s">
        <v>109</v>
      </c>
      <c r="B47" s="12" t="str">
        <f t="array" ref="B47">INDEX(스킬데이터,MATCH($A47,스킬!$A$2:$A$33,0),4)</f>
        <v>재단해주마!</v>
      </c>
      <c r="C47" s="13" t="s">
        <v>554</v>
      </c>
      <c r="D47" s="13" t="s">
        <v>554</v>
      </c>
      <c r="E47" s="13" t="s">
        <v>554</v>
      </c>
      <c r="F47" s="13" t="s">
        <v>554</v>
      </c>
      <c r="G47" s="13" t="s">
        <v>555</v>
      </c>
      <c r="H47" s="13" t="s">
        <v>555</v>
      </c>
      <c r="I47" s="13" t="s">
        <v>555</v>
      </c>
      <c r="J47" s="13" t="s">
        <v>555</v>
      </c>
      <c r="K47" s="13" t="s">
        <v>556</v>
      </c>
    </row>
    <row r="48" spans="1:11">
      <c r="A48" s="12" t="s">
        <v>109</v>
      </c>
      <c r="B48" s="12" t="str">
        <f t="array" ref="B48">INDEX(스킬데이터,MATCH($A48,스킬!$A$2:$A$33,0),9)</f>
        <v>화끈하게 간다!</v>
      </c>
      <c r="C48" s="13" t="s">
        <v>554</v>
      </c>
      <c r="D48" s="13" t="s">
        <v>554</v>
      </c>
      <c r="E48" s="13" t="s">
        <v>555</v>
      </c>
      <c r="F48" s="13" t="s">
        <v>555</v>
      </c>
      <c r="G48" s="14" t="s">
        <v>557</v>
      </c>
      <c r="H48" s="13" t="s">
        <v>556</v>
      </c>
      <c r="I48" s="13" t="s">
        <v>556</v>
      </c>
      <c r="J48" s="13" t="s">
        <v>556</v>
      </c>
      <c r="K48" s="14" t="s">
        <v>557</v>
      </c>
    </row>
    <row r="49" spans="1:11">
      <c r="A49" s="12" t="s">
        <v>109</v>
      </c>
      <c r="B49" s="12" t="str">
        <f t="array" ref="B49">INDEX(스킬데이터,MATCH($A49,스킬!$A$2:$A$33,0),15)</f>
        <v>버틸 수 있겠느냐!</v>
      </c>
      <c r="C49" s="13" t="s">
        <v>554</v>
      </c>
      <c r="D49" s="13" t="s">
        <v>555</v>
      </c>
      <c r="E49" s="13" t="s">
        <v>591</v>
      </c>
      <c r="F49" s="13" t="s">
        <v>555</v>
      </c>
      <c r="G49" s="14" t="s">
        <v>557</v>
      </c>
      <c r="H49" s="13" t="s">
        <v>555</v>
      </c>
      <c r="I49" s="13" t="s">
        <v>592</v>
      </c>
      <c r="J49" s="13" t="s">
        <v>556</v>
      </c>
      <c r="K49" s="14" t="s">
        <v>560</v>
      </c>
    </row>
    <row r="50" spans="1:11">
      <c r="A50" s="13" t="s">
        <v>116</v>
      </c>
      <c r="B50" s="12" t="str">
        <f t="array" ref="B50">INDEX(스킬데이터,MATCH($A50,스킬!$A$2:$A$33,0),4)</f>
        <v>단숨에 간다!</v>
      </c>
      <c r="C50" s="13" t="s">
        <v>554</v>
      </c>
      <c r="D50" s="13" t="s">
        <v>554</v>
      </c>
      <c r="E50" s="13" t="s">
        <v>554</v>
      </c>
      <c r="F50" s="13" t="s">
        <v>554</v>
      </c>
      <c r="G50" s="13" t="s">
        <v>555</v>
      </c>
      <c r="H50" s="13" t="s">
        <v>555</v>
      </c>
      <c r="I50" s="13" t="s">
        <v>555</v>
      </c>
      <c r="J50" s="13" t="s">
        <v>555</v>
      </c>
      <c r="K50" s="13" t="s">
        <v>556</v>
      </c>
    </row>
    <row r="51" spans="1:11">
      <c r="A51" s="13" t="s">
        <v>116</v>
      </c>
      <c r="B51" s="12" t="str">
        <f t="array" ref="B51">INDEX(스킬데이터,MATCH($A51,스킬!$A$2:$A$33,0),9)</f>
        <v>이건 무효야!</v>
      </c>
      <c r="C51" s="13" t="s">
        <v>554</v>
      </c>
      <c r="D51" s="13" t="s">
        <v>554</v>
      </c>
      <c r="E51" s="13" t="s">
        <v>554</v>
      </c>
      <c r="F51" s="13" t="s">
        <v>554</v>
      </c>
      <c r="G51" s="13" t="s">
        <v>555</v>
      </c>
      <c r="H51" s="13" t="s">
        <v>555</v>
      </c>
      <c r="I51" s="13" t="s">
        <v>555</v>
      </c>
      <c r="J51" s="13" t="s">
        <v>555</v>
      </c>
      <c r="K51" s="13" t="s">
        <v>556</v>
      </c>
    </row>
    <row r="52" spans="1:11">
      <c r="A52" s="13" t="s">
        <v>116</v>
      </c>
      <c r="B52" s="12" t="str">
        <f t="array" ref="B52">INDEX(스킬데이터,MATCH($A52,스킬!$A$2:$A$33,0),15)</f>
        <v>아무튼 이겼노라!</v>
      </c>
      <c r="C52" s="13" t="s">
        <v>554</v>
      </c>
      <c r="D52" s="13" t="s">
        <v>554</v>
      </c>
      <c r="E52" s="13" t="s">
        <v>554</v>
      </c>
      <c r="F52" s="13" t="s">
        <v>554</v>
      </c>
      <c r="G52" s="13" t="s">
        <v>555</v>
      </c>
      <c r="H52" s="13" t="s">
        <v>555</v>
      </c>
      <c r="I52" s="13" t="s">
        <v>555</v>
      </c>
      <c r="J52" s="13" t="s">
        <v>555</v>
      </c>
      <c r="K52" s="13" t="s">
        <v>556</v>
      </c>
    </row>
    <row r="53" spans="1:11">
      <c r="A53" s="12" t="s">
        <v>117</v>
      </c>
      <c r="B53" s="12" t="str">
        <f t="array" ref="B53">INDEX(스킬데이터,MATCH($A53,스킬!$A$2:$A$33,0),4)</f>
        <v>스트라니스식 일섬</v>
      </c>
      <c r="C53" s="13" t="s">
        <v>554</v>
      </c>
      <c r="D53" s="13" t="s">
        <v>554</v>
      </c>
      <c r="E53" s="13" t="s">
        <v>554</v>
      </c>
      <c r="F53" s="13" t="s">
        <v>554</v>
      </c>
      <c r="G53" s="13" t="s">
        <v>555</v>
      </c>
      <c r="H53" s="13" t="s">
        <v>555</v>
      </c>
      <c r="I53" s="13" t="s">
        <v>555</v>
      </c>
      <c r="J53" s="13" t="s">
        <v>555</v>
      </c>
      <c r="K53" s="13" t="s">
        <v>556</v>
      </c>
    </row>
    <row r="54" spans="1:11">
      <c r="A54" s="12" t="s">
        <v>117</v>
      </c>
      <c r="B54" s="12" t="str">
        <f t="array" ref="B54">INDEX(스킬데이터,MATCH($A54,스킬!$A$2:$A$33,0),9)</f>
        <v>장막 베기</v>
      </c>
      <c r="C54" s="13" t="s">
        <v>554</v>
      </c>
      <c r="D54" s="13" t="s">
        <v>554</v>
      </c>
      <c r="E54" s="13" t="s">
        <v>555</v>
      </c>
      <c r="F54" s="13" t="s">
        <v>555</v>
      </c>
      <c r="G54" s="14" t="s">
        <v>557</v>
      </c>
      <c r="H54" s="13" t="s">
        <v>556</v>
      </c>
      <c r="I54" s="13" t="s">
        <v>556</v>
      </c>
      <c r="J54" s="13" t="s">
        <v>556</v>
      </c>
      <c r="K54" s="14" t="s">
        <v>557</v>
      </c>
    </row>
    <row r="55" spans="1:11">
      <c r="A55" s="12" t="s">
        <v>117</v>
      </c>
      <c r="B55" s="12" t="str">
        <f t="array" ref="B55">INDEX(스킬데이터,MATCH($A55,스킬!$A$2:$A$33,0),15)</f>
        <v>밤의 서광</v>
      </c>
      <c r="C55" s="13" t="s">
        <v>554</v>
      </c>
      <c r="D55" s="13" t="s">
        <v>554</v>
      </c>
      <c r="E55" s="13" t="s">
        <v>555</v>
      </c>
      <c r="F55" s="13" t="s">
        <v>555</v>
      </c>
      <c r="G55" s="14" t="s">
        <v>557</v>
      </c>
      <c r="H55" s="13" t="s">
        <v>556</v>
      </c>
      <c r="I55" s="13" t="s">
        <v>556</v>
      </c>
      <c r="J55" s="13" t="s">
        <v>556</v>
      </c>
      <c r="K55" s="14" t="s">
        <v>557</v>
      </c>
    </row>
    <row r="56" spans="1:11">
      <c r="A56" s="12" t="s">
        <v>122</v>
      </c>
      <c r="B56" s="12" t="str">
        <f t="array" ref="B56">INDEX(스킬데이터,MATCH($A56,스킬!$A$2:$A$33,0),4)</f>
        <v>저항을 멈추세요!</v>
      </c>
      <c r="C56" s="12"/>
      <c r="D56" s="12"/>
      <c r="E56" s="12"/>
      <c r="F56" s="12"/>
      <c r="G56" s="12"/>
      <c r="H56" s="12"/>
      <c r="I56" s="12"/>
      <c r="J56" s="12"/>
      <c r="K56" s="12"/>
    </row>
    <row r="57" spans="1:11">
      <c r="A57" s="12" t="s">
        <v>122</v>
      </c>
      <c r="B57" s="12" t="str">
        <f t="array" ref="B57">INDEX(스킬데이터,MATCH($A57,스킬!$A$2:$A$33,0),9)</f>
        <v>먹고 시작하겠습니다!</v>
      </c>
      <c r="C57" s="12"/>
      <c r="D57" s="12"/>
      <c r="E57" s="12"/>
      <c r="F57" s="12"/>
      <c r="G57" s="12"/>
      <c r="H57" s="12"/>
      <c r="I57" s="12"/>
      <c r="J57" s="12"/>
      <c r="K57" s="12"/>
    </row>
    <row r="58" spans="1:11">
      <c r="A58" s="12" t="s">
        <v>122</v>
      </c>
      <c r="B58" s="12" t="str">
        <f t="array" ref="B58">INDEX(스킬데이터,MATCH($A58,스킬!$A$2:$A$33,0),15)</f>
        <v>모두 체포해!</v>
      </c>
      <c r="C58" s="12"/>
      <c r="D58" s="12"/>
      <c r="E58" s="12"/>
      <c r="F58" s="12"/>
      <c r="G58" s="12"/>
      <c r="H58" s="12"/>
      <c r="I58" s="12"/>
      <c r="J58" s="12"/>
      <c r="K58" s="12"/>
    </row>
    <row r="59" spans="1:11">
      <c r="A59" s="12" t="s">
        <v>127</v>
      </c>
      <c r="B59" s="12" t="str">
        <f t="array" ref="B59">INDEX(스킬데이터,MATCH($A59,스킬!$A$2:$A$33,0),4)</f>
        <v>강철 소나기</v>
      </c>
      <c r="C59" s="12"/>
      <c r="D59" s="12"/>
      <c r="E59" s="12"/>
      <c r="F59" s="12"/>
      <c r="G59" s="12"/>
      <c r="H59" s="12"/>
      <c r="I59" s="12"/>
      <c r="J59" s="12"/>
      <c r="K59" s="12"/>
    </row>
    <row r="60" spans="1:11">
      <c r="A60" s="12" t="s">
        <v>127</v>
      </c>
      <c r="B60" s="12" t="str">
        <f t="array" ref="B60">INDEX(스킬데이터,MATCH($A60,스킬!$A$2:$A$33,0),9)</f>
        <v>송곳 갑주</v>
      </c>
      <c r="C60" s="12"/>
      <c r="D60" s="12"/>
      <c r="E60" s="12"/>
      <c r="F60" s="12"/>
      <c r="G60" s="12"/>
      <c r="H60" s="12"/>
      <c r="I60" s="12"/>
      <c r="J60" s="12"/>
      <c r="K60" s="12"/>
    </row>
    <row r="61" spans="1:11">
      <c r="A61" s="12" t="s">
        <v>127</v>
      </c>
      <c r="B61" s="12" t="str">
        <f t="array" ref="B61">INDEX(스킬데이터,MATCH($A61,스킬!$A$2:$A$33,0),15)</f>
        <v>가시 무덤</v>
      </c>
      <c r="C61" s="12"/>
      <c r="D61" s="12"/>
      <c r="E61" s="12"/>
      <c r="F61" s="12"/>
      <c r="G61" s="12"/>
      <c r="H61" s="12"/>
      <c r="I61" s="12"/>
      <c r="J61" s="12"/>
      <c r="K61" s="12"/>
    </row>
    <row r="62" spans="1:11">
      <c r="A62" s="12" t="s">
        <v>133</v>
      </c>
      <c r="B62" s="12" t="str">
        <f t="array" ref="B62">INDEX(스킬데이터,MATCH($A62,스킬!$A$2:$A$33,0),4)</f>
        <v>오를랑식 검술</v>
      </c>
      <c r="C62" s="12"/>
      <c r="D62" s="12"/>
      <c r="E62" s="12"/>
      <c r="F62" s="12"/>
      <c r="G62" s="12"/>
      <c r="H62" s="12"/>
      <c r="I62" s="12"/>
      <c r="J62" s="12"/>
      <c r="K62" s="12"/>
    </row>
    <row r="63" spans="1:11">
      <c r="A63" s="12" t="s">
        <v>133</v>
      </c>
      <c r="B63" s="12" t="str">
        <f t="array" ref="B63">INDEX(스킬데이터,MATCH($A63,스킬!$A$2:$A$33,0),9)</f>
        <v>끈질긴 노력</v>
      </c>
      <c r="C63" s="12"/>
      <c r="D63" s="12"/>
      <c r="E63" s="12"/>
      <c r="F63" s="12"/>
      <c r="G63" s="12"/>
      <c r="H63" s="12"/>
      <c r="I63" s="12"/>
      <c r="J63" s="12"/>
      <c r="K63" s="12"/>
    </row>
    <row r="64" spans="1:11">
      <c r="A64" s="12" t="s">
        <v>133</v>
      </c>
      <c r="B64" s="12" t="str">
        <f t="array" ref="B64">INDEX(스킬데이터,MATCH($A64,스킬!$A$2:$A$33,0),15)</f>
        <v>오를랑의 매</v>
      </c>
      <c r="C64" s="12"/>
      <c r="D64" s="12"/>
      <c r="E64" s="12"/>
      <c r="F64" s="12"/>
      <c r="G64" s="12"/>
      <c r="H64" s="12"/>
      <c r="I64" s="12"/>
      <c r="J64" s="12"/>
      <c r="K64" s="12"/>
    </row>
    <row r="65" spans="1:11">
      <c r="A65" s="12" t="s">
        <v>139</v>
      </c>
      <c r="B65" s="12" t="str">
        <f t="array" ref="B65">INDEX(스킬데이터,MATCH($A65,스킬!$A$2:$A$33,0),4)</f>
        <v>돌아가 주세요</v>
      </c>
      <c r="C65" s="12"/>
      <c r="D65" s="12"/>
      <c r="E65" s="12"/>
      <c r="F65" s="12"/>
      <c r="G65" s="12"/>
      <c r="H65" s="12"/>
      <c r="I65" s="12"/>
      <c r="J65" s="12"/>
      <c r="K65" s="12"/>
    </row>
    <row r="66" spans="1:11">
      <c r="A66" s="12" t="s">
        <v>139</v>
      </c>
      <c r="B66" s="12" t="str">
        <f t="array" ref="B66">INDEX(스킬데이터,MATCH($A66,스킬!$A$2:$A$33,0),9)</f>
        <v>부질없지만 도움을</v>
      </c>
      <c r="C66" s="12"/>
      <c r="D66" s="12"/>
      <c r="E66" s="12"/>
      <c r="F66" s="12"/>
      <c r="G66" s="12"/>
      <c r="H66" s="12"/>
      <c r="I66" s="12"/>
      <c r="J66" s="12"/>
      <c r="K66" s="12"/>
    </row>
    <row r="67" spans="1:11">
      <c r="A67" s="12" t="s">
        <v>139</v>
      </c>
      <c r="B67" s="12" t="str">
        <f t="array" ref="B67">INDEX(스킬데이터,MATCH($A67,스킬!$A$2:$A$33,0),15)</f>
        <v>다같이 기도를</v>
      </c>
      <c r="C67" s="12"/>
      <c r="D67" s="12"/>
      <c r="E67" s="12"/>
      <c r="F67" s="12"/>
      <c r="G67" s="12"/>
      <c r="H67" s="12"/>
      <c r="I67" s="12"/>
      <c r="J67" s="12"/>
      <c r="K67" s="12"/>
    </row>
    <row r="68" spans="1:11">
      <c r="A68" s="12" t="s">
        <v>144</v>
      </c>
      <c r="B68" s="12" t="str">
        <f t="array" ref="B68">INDEX(스킬데이터,MATCH($A68,스킬!$A$2:$A$33,0),4)</f>
        <v>기사단 제식 검술</v>
      </c>
      <c r="C68" s="12"/>
      <c r="D68" s="12"/>
      <c r="E68" s="12"/>
      <c r="F68" s="12"/>
      <c r="G68" s="12"/>
      <c r="H68" s="12"/>
      <c r="I68" s="12"/>
      <c r="J68" s="12"/>
      <c r="K68" s="12"/>
    </row>
    <row r="69" spans="1:11">
      <c r="A69" s="12" t="s">
        <v>144</v>
      </c>
      <c r="B69" s="12" t="str">
        <f t="array" ref="B69">INDEX(스킬데이터,MATCH($A69,스킬!$A$2:$A$33,0),9)</f>
        <v>충격 요법</v>
      </c>
      <c r="C69" s="12"/>
      <c r="D69" s="12"/>
      <c r="E69" s="12"/>
      <c r="F69" s="12"/>
      <c r="G69" s="12"/>
      <c r="H69" s="12"/>
      <c r="I69" s="12"/>
      <c r="J69" s="12"/>
      <c r="K69" s="12"/>
    </row>
    <row r="70" spans="1:11">
      <c r="A70" s="12" t="s">
        <v>144</v>
      </c>
      <c r="B70" s="12" t="str">
        <f t="array" ref="B70">INDEX(스킬데이터,MATCH($A70,스킬!$A$2:$A$33,0),15)</f>
        <v>모나스티르 기동 장벽</v>
      </c>
      <c r="C70" s="12"/>
      <c r="D70" s="12"/>
      <c r="E70" s="12"/>
      <c r="F70" s="12"/>
      <c r="G70" s="12"/>
      <c r="H70" s="12"/>
      <c r="I70" s="12"/>
      <c r="J70" s="12"/>
      <c r="K70" s="12"/>
    </row>
    <row r="71" spans="1:11">
      <c r="A71" s="12" t="s">
        <v>148</v>
      </c>
      <c r="B71" s="12" t="str">
        <f t="array" ref="B71">INDEX(스킬데이터,MATCH($A71,스킬!$A$2:$A$33,0),4)</f>
        <v>좀 멀리 떨어져봐</v>
      </c>
      <c r="C71" s="12"/>
      <c r="D71" s="12"/>
      <c r="E71" s="12"/>
      <c r="F71" s="12"/>
      <c r="G71" s="12"/>
      <c r="H71" s="12"/>
      <c r="I71" s="12"/>
      <c r="J71" s="12"/>
      <c r="K71" s="12"/>
    </row>
    <row r="72" spans="1:11">
      <c r="A72" s="12" t="s">
        <v>148</v>
      </c>
      <c r="B72" s="12" t="str">
        <f t="array" ref="B72">INDEX(스킬데이터,MATCH($A72,스킬!$A$2:$A$33,0),9)</f>
        <v>느낌대로 사격</v>
      </c>
      <c r="C72" s="12"/>
      <c r="D72" s="12"/>
      <c r="E72" s="12"/>
      <c r="F72" s="12"/>
      <c r="G72" s="12"/>
      <c r="H72" s="12"/>
      <c r="I72" s="12"/>
      <c r="J72" s="12"/>
      <c r="K72" s="12"/>
    </row>
    <row r="73" spans="1:11">
      <c r="A73" s="12" t="s">
        <v>148</v>
      </c>
      <c r="B73" s="12" t="str">
        <f t="array" ref="B73">INDEX(스킬데이터,MATCH($A73,스킬!$A$2:$A$33,0),15)</f>
        <v>총은 이렇게 쏘는거야</v>
      </c>
      <c r="C73" s="12"/>
      <c r="D73" s="12"/>
      <c r="E73" s="12"/>
      <c r="F73" s="12"/>
      <c r="G73" s="12"/>
      <c r="H73" s="12"/>
      <c r="I73" s="12"/>
      <c r="J73" s="12"/>
      <c r="K73" s="12"/>
    </row>
    <row r="74" spans="1:11">
      <c r="A74" s="12" t="s">
        <v>153</v>
      </c>
      <c r="B74" s="12" t="str">
        <f t="array" ref="B74">INDEX(스킬데이터,MATCH($A74,스킬!$A$2:$A$33,0),4)</f>
        <v>완벽한 일격</v>
      </c>
      <c r="C74" s="12"/>
      <c r="D74" s="12"/>
      <c r="E74" s="12"/>
      <c r="F74" s="12"/>
      <c r="G74" s="12"/>
      <c r="H74" s="12"/>
      <c r="I74" s="12"/>
      <c r="J74" s="12"/>
      <c r="K74" s="12"/>
    </row>
    <row r="75" spans="1:11">
      <c r="A75" s="12" t="s">
        <v>153</v>
      </c>
      <c r="B75" s="12" t="str">
        <f t="array" ref="B75">INDEX(스킬데이터,MATCH($A75,스킬!$A$2:$A$33,0),9)</f>
        <v>서슬 푸른 가시</v>
      </c>
      <c r="C75" s="12"/>
      <c r="D75" s="12"/>
      <c r="E75" s="12"/>
      <c r="F75" s="12"/>
      <c r="G75" s="12"/>
      <c r="H75" s="12"/>
      <c r="I75" s="12"/>
      <c r="J75" s="12"/>
      <c r="K75" s="12"/>
    </row>
    <row r="76" spans="1:11">
      <c r="A76" s="12" t="s">
        <v>153</v>
      </c>
      <c r="B76" s="12" t="str">
        <f t="array" ref="B76">INDEX(스킬데이터,MATCH($A76,스킬!$A$2:$A$33,0),15)</f>
        <v>마지막 서비스</v>
      </c>
      <c r="C76" s="12"/>
      <c r="D76" s="12"/>
      <c r="E76" s="12"/>
      <c r="F76" s="12"/>
      <c r="G76" s="12"/>
      <c r="H76" s="12"/>
      <c r="I76" s="12"/>
      <c r="J76" s="12"/>
      <c r="K76" s="12"/>
    </row>
    <row r="77" spans="1:11">
      <c r="A77" s="13" t="s">
        <v>157</v>
      </c>
      <c r="B77" s="12" t="str">
        <f t="array" ref="B77">INDEX(스킬데이터,MATCH($A77,스킬!$A$2:$A$33,0),4)</f>
        <v>눈보다 빠른 움직임</v>
      </c>
      <c r="C77" s="12"/>
      <c r="D77" s="12"/>
      <c r="E77" s="12"/>
      <c r="F77" s="12"/>
      <c r="G77" s="12"/>
      <c r="H77" s="12"/>
      <c r="I77" s="12"/>
      <c r="J77" s="12"/>
      <c r="K77" s="12"/>
    </row>
    <row r="78" spans="1:11">
      <c r="A78" s="13" t="s">
        <v>157</v>
      </c>
      <c r="B78" s="12" t="str">
        <f t="array" ref="B78">INDEX(스킬데이터,MATCH($A78,스킬!$A$2:$A$33,0),9)</f>
        <v>어딜 보시는 거죠?</v>
      </c>
      <c r="C78" s="12"/>
      <c r="D78" s="12"/>
      <c r="E78" s="12"/>
      <c r="F78" s="12"/>
      <c r="G78" s="12"/>
      <c r="H78" s="12"/>
      <c r="I78" s="12"/>
      <c r="J78" s="12"/>
      <c r="K78" s="12"/>
    </row>
    <row r="79" spans="1:11">
      <c r="A79" s="13" t="s">
        <v>157</v>
      </c>
      <c r="B79" s="12" t="str">
        <f t="array" ref="B79">INDEX(스킬데이터,MATCH($A79,스킬!$A$2:$A$33,0),15)</f>
        <v>바니걸 잭팟</v>
      </c>
      <c r="C79" s="12"/>
      <c r="D79" s="12"/>
      <c r="E79" s="12"/>
      <c r="F79" s="12"/>
      <c r="G79" s="12"/>
      <c r="H79" s="12"/>
      <c r="I79" s="12"/>
      <c r="J79" s="12"/>
      <c r="K79" s="12"/>
    </row>
    <row r="80" spans="1:11">
      <c r="A80" s="12" t="s">
        <v>158</v>
      </c>
      <c r="B80" s="12" t="str">
        <f t="array" ref="B80">INDEX(스킬데이터,MATCH($A80,스킬!$A$2:$A$33,0),4)</f>
        <v>비일상적인 인사</v>
      </c>
      <c r="C80" s="12"/>
      <c r="D80" s="12"/>
      <c r="E80" s="12"/>
      <c r="F80" s="12"/>
      <c r="G80" s="12"/>
      <c r="H80" s="12"/>
      <c r="I80" s="12"/>
      <c r="J80" s="12"/>
      <c r="K80" s="12"/>
    </row>
    <row r="81" spans="1:11">
      <c r="A81" s="12" t="s">
        <v>158</v>
      </c>
      <c r="B81" s="12" t="str">
        <f t="array" ref="B81">INDEX(스킬데이터,MATCH($A81,스킬!$A$2:$A$33,0),9)</f>
        <v>침묵의 대가</v>
      </c>
      <c r="C81" s="12"/>
      <c r="D81" s="12"/>
      <c r="E81" s="12"/>
      <c r="F81" s="12"/>
      <c r="G81" s="12"/>
      <c r="H81" s="12"/>
      <c r="I81" s="12"/>
      <c r="J81" s="12"/>
      <c r="K81" s="12"/>
    </row>
    <row r="82" spans="1:11">
      <c r="A82" s="12" t="s">
        <v>158</v>
      </c>
      <c r="B82" s="12" t="str">
        <f t="array" ref="B82">INDEX(스킬데이터,MATCH($A82,스킬!$A$2:$A$33,0),15)</f>
        <v>왜곡된 관심</v>
      </c>
      <c r="C82" s="12"/>
      <c r="D82" s="12"/>
      <c r="E82" s="12"/>
      <c r="F82" s="12"/>
      <c r="G82" s="12"/>
      <c r="H82" s="12"/>
      <c r="I82" s="12"/>
      <c r="J82" s="12"/>
      <c r="K82" s="12"/>
    </row>
    <row r="83" spans="1:11">
      <c r="A83" s="12" t="s">
        <v>163</v>
      </c>
      <c r="B83" s="12" t="str">
        <f t="array" ref="B83">INDEX(스킬데이터,MATCH($A83,스킬!$A$2:$A$33,0),4)</f>
        <v>펑펑 공구</v>
      </c>
      <c r="C83" s="12"/>
      <c r="D83" s="12"/>
      <c r="E83" s="12"/>
      <c r="F83" s="12"/>
      <c r="G83" s="12"/>
      <c r="H83" s="12"/>
      <c r="I83" s="12"/>
      <c r="J83" s="12"/>
      <c r="K83" s="12"/>
    </row>
    <row r="84" spans="1:11">
      <c r="A84" s="12" t="s">
        <v>163</v>
      </c>
      <c r="B84" s="12" t="str">
        <f t="array" ref="B84">INDEX(스킬데이터,MATCH($A84,스킬!$A$2:$A$33,0),9)</f>
        <v>뱅뱅 전기톱</v>
      </c>
      <c r="C84" s="12"/>
      <c r="D84" s="12"/>
      <c r="E84" s="12"/>
      <c r="F84" s="12"/>
      <c r="G84" s="12"/>
      <c r="H84" s="12"/>
      <c r="I84" s="12"/>
      <c r="J84" s="12"/>
      <c r="K84" s="12"/>
    </row>
    <row r="85" spans="1:11">
      <c r="A85" s="12" t="s">
        <v>163</v>
      </c>
      <c r="B85" s="12" t="str">
        <f t="array" ref="B85">INDEX(스킬데이터,MATCH($A85,스킬!$A$2:$A$33,0),15)</f>
        <v>쾅쾅 벙커</v>
      </c>
      <c r="C85" s="12"/>
      <c r="D85" s="12"/>
      <c r="E85" s="12"/>
      <c r="F85" s="12"/>
      <c r="G85" s="12"/>
      <c r="H85" s="12"/>
      <c r="I85" s="12"/>
      <c r="J85" s="12"/>
      <c r="K85" s="12"/>
    </row>
    <row r="86" spans="1:11">
      <c r="A86" s="12" t="s">
        <v>167</v>
      </c>
      <c r="B86" s="12" t="str">
        <f t="array" ref="B86">INDEX(스킬데이터,MATCH($A86,스킬!$A$2:$A$33,0),4)</f>
        <v>귀신 걸음</v>
      </c>
      <c r="C86" s="12"/>
      <c r="D86" s="12"/>
      <c r="E86" s="12"/>
      <c r="F86" s="12"/>
      <c r="G86" s="12"/>
      <c r="H86" s="12"/>
      <c r="I86" s="12"/>
      <c r="J86" s="12"/>
      <c r="K86" s="12"/>
    </row>
    <row r="87" spans="1:11">
      <c r="A87" s="12" t="s">
        <v>167</v>
      </c>
      <c r="B87" s="12" t="str">
        <f t="array" ref="B87">INDEX(스킬데이터,MATCH($A87,스킬!$A$2:$A$33,0),9)</f>
        <v>가속 강습</v>
      </c>
      <c r="C87" s="12"/>
      <c r="D87" s="12"/>
      <c r="E87" s="12"/>
      <c r="F87" s="12"/>
      <c r="G87" s="12"/>
      <c r="H87" s="12"/>
      <c r="I87" s="12"/>
      <c r="J87" s="12"/>
      <c r="K87" s="12"/>
    </row>
    <row r="88" spans="1:11">
      <c r="A88" s="12" t="s">
        <v>167</v>
      </c>
      <c r="B88" s="12" t="str">
        <f t="array" ref="B88">INDEX(스킬데이터,MATCH($A88,스킬!$A$2:$A$33,0),15)</f>
        <v>연속 참격</v>
      </c>
      <c r="C88" s="12"/>
      <c r="D88" s="12"/>
      <c r="E88" s="12"/>
      <c r="F88" s="12"/>
      <c r="G88" s="12"/>
      <c r="H88" s="12"/>
      <c r="I88" s="12"/>
      <c r="J88" s="12"/>
      <c r="K88" s="12"/>
    </row>
    <row r="89" spans="1:11">
      <c r="A89" s="12" t="s">
        <v>173</v>
      </c>
      <c r="B89" s="12" t="str">
        <f t="array" ref="B89">INDEX(스킬데이터,MATCH($A89,스킬!$A$2:$A$33,0),4)</f>
        <v>즉석 설계</v>
      </c>
      <c r="C89" s="13" t="s">
        <v>554</v>
      </c>
      <c r="D89" s="13" t="s">
        <v>554</v>
      </c>
      <c r="E89" s="13" t="s">
        <v>554</v>
      </c>
      <c r="F89" s="13" t="s">
        <v>554</v>
      </c>
      <c r="G89" s="13" t="s">
        <v>555</v>
      </c>
      <c r="H89" s="13" t="s">
        <v>555</v>
      </c>
      <c r="I89" s="13" t="s">
        <v>555</v>
      </c>
      <c r="J89" s="13" t="s">
        <v>555</v>
      </c>
      <c r="K89" s="13" t="s">
        <v>556</v>
      </c>
    </row>
    <row r="90" spans="1:11">
      <c r="A90" s="12" t="s">
        <v>173</v>
      </c>
      <c r="B90" s="12" t="str">
        <f t="array" ref="B90">INDEX(스킬데이터,MATCH($A90,스킬!$A$2:$A$33,0),9)</f>
        <v>시공 착수</v>
      </c>
      <c r="C90" s="12"/>
      <c r="D90" s="12"/>
      <c r="E90" s="12"/>
      <c r="F90" s="12"/>
      <c r="G90" s="12"/>
      <c r="H90" s="12"/>
      <c r="I90" s="12"/>
      <c r="J90" s="12"/>
      <c r="K90" s="12"/>
    </row>
    <row r="91" spans="1:11">
      <c r="A91" s="12" t="s">
        <v>173</v>
      </c>
      <c r="B91" s="12" t="str">
        <f t="array" ref="B91">INDEX(스킬데이터,MATCH($A91,스킬!$A$2:$A$33,0),15)</f>
        <v>건축 협의</v>
      </c>
      <c r="C91" s="12"/>
      <c r="D91" s="12"/>
      <c r="E91" s="12"/>
      <c r="F91" s="12"/>
      <c r="G91" s="12"/>
      <c r="H91" s="12"/>
      <c r="I91" s="12"/>
      <c r="J91" s="12"/>
      <c r="K91" s="13"/>
    </row>
    <row r="92" spans="1:11">
      <c r="A92" s="12" t="s">
        <v>177</v>
      </c>
      <c r="B92" s="12" t="str">
        <f t="array" ref="B92">INDEX(스킬데이터,MATCH($A92,스킬!$A$2:$A$33,0),4)</f>
        <v>교섭 결렬</v>
      </c>
      <c r="C92" s="13" t="s">
        <v>554</v>
      </c>
      <c r="D92" s="13" t="s">
        <v>554</v>
      </c>
      <c r="E92" s="13" t="s">
        <v>554</v>
      </c>
      <c r="F92" s="13" t="s">
        <v>554</v>
      </c>
      <c r="G92" s="13" t="s">
        <v>554</v>
      </c>
      <c r="H92" s="13" t="s">
        <v>554</v>
      </c>
      <c r="I92" s="13" t="s">
        <v>554</v>
      </c>
      <c r="J92" s="13" t="s">
        <v>554</v>
      </c>
      <c r="K92" s="13" t="s">
        <v>555</v>
      </c>
    </row>
    <row r="93" spans="1:11">
      <c r="A93" s="12" t="s">
        <v>177</v>
      </c>
      <c r="B93" s="12" t="str">
        <f t="array" ref="B93">INDEX(스킬데이터,MATCH($A93,스킬!$A$2:$A$33,0),9)</f>
        <v>최고 속도로 보급</v>
      </c>
      <c r="C93" s="13" t="s">
        <v>578</v>
      </c>
      <c r="D93" s="13" t="s">
        <v>578</v>
      </c>
      <c r="E93" s="13" t="s">
        <v>578</v>
      </c>
      <c r="F93" s="13" t="s">
        <v>579</v>
      </c>
      <c r="G93" s="13" t="s">
        <v>579</v>
      </c>
      <c r="H93" s="13" t="s">
        <v>579</v>
      </c>
      <c r="I93" s="13" t="s">
        <v>580</v>
      </c>
      <c r="J93" s="13" t="s">
        <v>580</v>
      </c>
      <c r="K93" s="13" t="s">
        <v>585</v>
      </c>
    </row>
    <row r="94" spans="1:11">
      <c r="A94" s="12" t="s">
        <v>177</v>
      </c>
      <c r="B94" s="12" t="str">
        <f t="array" ref="B94">INDEX(스킬데이터,MATCH($A94,스킬!$A$2:$A$33,0),15)</f>
        <v>모나스티르의 전력지원</v>
      </c>
      <c r="C94" s="13" t="s">
        <v>578</v>
      </c>
      <c r="D94" s="13" t="s">
        <v>578</v>
      </c>
      <c r="E94" s="13" t="s">
        <v>579</v>
      </c>
      <c r="F94" s="13" t="s">
        <v>579</v>
      </c>
      <c r="G94" s="13" t="s">
        <v>557</v>
      </c>
      <c r="H94" s="13" t="s">
        <v>580</v>
      </c>
      <c r="I94" s="13" t="s">
        <v>580</v>
      </c>
      <c r="J94" s="13" t="s">
        <v>580</v>
      </c>
      <c r="K94" s="13" t="s">
        <v>593</v>
      </c>
    </row>
    <row r="95" spans="1:11">
      <c r="A95" s="12" t="s">
        <v>181</v>
      </c>
      <c r="B95" s="12" t="str">
        <f t="array" ref="B95">INDEX(스킬데이터,MATCH($A95,스킬!$A$2:$A$33,0),4)</f>
        <v>가자, 데이브!</v>
      </c>
      <c r="C95" s="13" t="s">
        <v>554</v>
      </c>
      <c r="D95" s="13" t="s">
        <v>554</v>
      </c>
      <c r="E95" s="13" t="s">
        <v>554</v>
      </c>
      <c r="F95" s="13" t="s">
        <v>554</v>
      </c>
      <c r="G95" s="13" t="s">
        <v>554</v>
      </c>
      <c r="H95" s="13" t="s">
        <v>554</v>
      </c>
      <c r="I95" s="13" t="s">
        <v>554</v>
      </c>
      <c r="J95" s="13" t="s">
        <v>554</v>
      </c>
      <c r="K95" s="13" t="s">
        <v>555</v>
      </c>
    </row>
    <row r="96" spans="1:11">
      <c r="A96" s="12" t="s">
        <v>181</v>
      </c>
      <c r="B96" s="12" t="str">
        <f t="array" ref="B96">INDEX(스킬데이터,MATCH($A96,스킬!$A$2:$A$33,0),9)</f>
        <v>해보자는 거냐?</v>
      </c>
      <c r="C96" s="13" t="s">
        <v>554</v>
      </c>
      <c r="D96" s="13" t="s">
        <v>554</v>
      </c>
      <c r="E96" s="13" t="s">
        <v>554</v>
      </c>
      <c r="F96" s="13" t="s">
        <v>554</v>
      </c>
      <c r="G96" s="13" t="s">
        <v>557</v>
      </c>
      <c r="H96" s="13" t="s">
        <v>555</v>
      </c>
      <c r="I96" s="13" t="s">
        <v>555</v>
      </c>
      <c r="J96" s="13" t="s">
        <v>555</v>
      </c>
      <c r="K96" s="13" t="s">
        <v>557</v>
      </c>
    </row>
    <row r="97" spans="1:11">
      <c r="A97" s="12" t="s">
        <v>181</v>
      </c>
      <c r="B97" s="12" t="str">
        <f t="array" ref="B97">INDEX(스킬데이터,MATCH($A97,스킬!$A$2:$A$33,0),15)</f>
        <v>치킨 레이스다!</v>
      </c>
      <c r="C97" s="13" t="s">
        <v>554</v>
      </c>
      <c r="D97" s="13" t="s">
        <v>555</v>
      </c>
      <c r="E97" s="13" t="s">
        <v>594</v>
      </c>
      <c r="F97" s="13" t="s">
        <v>555</v>
      </c>
      <c r="G97" s="13" t="s">
        <v>557</v>
      </c>
      <c r="H97" s="13" t="s">
        <v>555</v>
      </c>
      <c r="I97" s="13" t="s">
        <v>595</v>
      </c>
      <c r="J97" s="13" t="s">
        <v>556</v>
      </c>
      <c r="K97" s="13" t="s">
        <v>560</v>
      </c>
    </row>
  </sheetData>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4.42578125" defaultRowHeight="15" customHeight="1"/>
  <cols>
    <col min="1" max="1" width="23.28515625" customWidth="1"/>
    <col min="2" max="2" width="25.140625" customWidth="1"/>
  </cols>
  <sheetData>
    <row r="1" spans="1:1">
      <c r="A1" s="10" t="s">
        <v>629</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1</vt:i4>
      </vt:variant>
    </vt:vector>
  </HeadingPairs>
  <TitlesOfParts>
    <vt:vector size="7" baseType="lpstr">
      <vt:lpstr>프로필</vt:lpstr>
      <vt:lpstr>스킬</vt:lpstr>
      <vt:lpstr>스탯</vt:lpstr>
      <vt:lpstr>플레이버 텍스트</vt:lpstr>
      <vt:lpstr>스킬 레벨 정보</vt:lpstr>
      <vt:lpstr>코멘트(자유)</vt:lpstr>
      <vt:lpstr>스킬데이터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USER15</cp:lastModifiedBy>
  <dcterms:modified xsi:type="dcterms:W3CDTF">2025-12-05T01:28:29Z</dcterms:modified>
</cp:coreProperties>
</file>